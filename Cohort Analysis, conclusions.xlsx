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crist\Downloads\"/>
    </mc:Choice>
  </mc:AlternateContent>
  <xr:revisionPtr revIDLastSave="0" documentId="13_ncr:1_{FF0BB04D-5E5B-4D92-BD77-267C6692C7C9}" xr6:coauthVersionLast="47" xr6:coauthVersionMax="47" xr10:uidLastSave="{00000000-0000-0000-0000-000000000000}"/>
  <bookViews>
    <workbookView xWindow="-98" yWindow="-98" windowWidth="21795" windowHeight="12975" activeTab="1" xr2:uid="{00000000-000D-0000-FFFF-FFFF00000000}"/>
  </bookViews>
  <sheets>
    <sheet name="Data" sheetId="1" r:id="rId1"/>
    <sheet name="Cohort_tables" sheetId="2" r:id="rId2"/>
    <sheet name="Conclusions" sheetId="3" r:id="rId3"/>
  </sheets>
  <definedNames>
    <definedName name="SlicerCache_Table_1_Col_1">#N/A</definedName>
    <definedName name="Z_6E16A70E_D239_4D4F_8AE7_C49E0E96F26B_.wvu.FilterData" localSheetId="0" hidden="1">Data!$A$1:$D$43</definedName>
  </definedNames>
  <calcPr calcId="191029"/>
  <customWorkbookViews>
    <customWorkbookView name="Фільтр 1" guid="{6E16A70E-D239-4D4F-8AE7-C49E0E96F26B}" maximized="1" windowWidth="0" windowHeight="0" activeSheetId="0"/>
  </customWorkbookViews>
  <pivotCaches>
    <pivotCache cacheId="4" r:id="rId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8" i="2" l="1"/>
  <c r="C28" i="2" s="1"/>
  <c r="B27" i="2"/>
  <c r="B26" i="2"/>
  <c r="C26" i="2" s="1"/>
  <c r="B25" i="2"/>
  <c r="B24" i="2"/>
  <c r="B23" i="2"/>
  <c r="G19" i="2"/>
  <c r="F19" i="2"/>
  <c r="E19" i="2"/>
  <c r="D19" i="2"/>
  <c r="C19" i="2"/>
  <c r="B19" i="2"/>
  <c r="G18" i="2"/>
  <c r="F18" i="2"/>
  <c r="E18" i="2"/>
  <c r="D18" i="2"/>
  <c r="C18" i="2"/>
  <c r="B18" i="2"/>
  <c r="G17" i="2"/>
  <c r="F17" i="2"/>
  <c r="E17" i="2"/>
  <c r="D17" i="2"/>
  <c r="C17" i="2"/>
  <c r="B17" i="2"/>
  <c r="G16" i="2"/>
  <c r="F16" i="2"/>
  <c r="E16" i="2"/>
  <c r="D16" i="2"/>
  <c r="C16" i="2"/>
  <c r="B16" i="2"/>
  <c r="G15" i="2"/>
  <c r="F15" i="2"/>
  <c r="E15" i="2"/>
  <c r="D15" i="2"/>
  <c r="C15" i="2"/>
  <c r="B15" i="2"/>
  <c r="G14" i="2"/>
  <c r="F14" i="2"/>
  <c r="E14" i="2"/>
  <c r="D14" i="2"/>
  <c r="C14" i="2"/>
  <c r="B14" i="2"/>
  <c r="C25" i="2" l="1"/>
  <c r="C24" i="2"/>
  <c r="C27" i="2"/>
</calcChain>
</file>

<file path=xl/sharedStrings.xml><?xml version="1.0" encoding="utf-8"?>
<sst xmlns="http://schemas.openxmlformats.org/spreadsheetml/2006/main" count="27" uniqueCount="22">
  <si>
    <t>promo_signup_flag</t>
  </si>
  <si>
    <t>cohort_month</t>
  </si>
  <si>
    <t>month_offset</t>
  </si>
  <si>
    <t>users_total</t>
  </si>
  <si>
    <t>Загальні користувачі</t>
  </si>
  <si>
    <t>Retention Rate</t>
  </si>
  <si>
    <t>По когортах з січня по травень спостерігається найбільше зменшення кількості користувачів після першого місяця користування, що, скоріш за все говорить про можливі складності, недоліки на початку користування продуктом.</t>
  </si>
  <si>
    <t>В наступні місяці зменшення користувачів також є, але більш помірне.</t>
  </si>
  <si>
    <t>Якщо розглянути січневу когорту, бачимо,що на кінець періоду, для якого робиться аналіз, залишилось 40% користувачів, що не є поганим показником</t>
  </si>
  <si>
    <t>В березні спостерігається найкращий ретеншен.</t>
  </si>
  <si>
    <t xml:space="preserve">В цілому ретеншен стабільний. </t>
  </si>
  <si>
    <t>Щодо порівняння користувачів, залучених через промо та органічних, то бачимо, що ретеншен органічних користувачів значно вищий, тобто користувачі, залучені через промо не затримуються в продукті , ретеншен погіршується з кожним місяцем.</t>
  </si>
  <si>
    <t>Найбільший приріст загальних користувачів спостерігається в квітні.(якщо не брати до уваги приріст лютого, т.я. по січню дані не загальних користувачів, а лише нових в січні)</t>
  </si>
  <si>
    <t>Looking at the cohorts from January to May, we see the biggest drop in the number of users after the first month of use, which likely points to some initial difficulties or shortcomings with using the product.</t>
  </si>
  <si>
    <t xml:space="preserve">In the following months, there is still a decrease in users, but it's more moderate. </t>
  </si>
  <si>
    <t xml:space="preserve">If we look at the January cohort, we see that by the end of the period being analyzed, 40% of users remained, which isn’t a bad figure. </t>
  </si>
  <si>
    <t xml:space="preserve"> March shows the best retention.</t>
  </si>
  <si>
    <t>Overall, retention is stable.</t>
  </si>
  <si>
    <t>When comparing users acquired through promotions and organically, we see that organic users have significantly higher retention, meaning users brought in via promos don’t stick around in the product, and retention declines every month.</t>
  </si>
  <si>
    <t>The largest overall user growth is seen in April (excluding February’s growth since the January data only accounts for new users in January, not total users).</t>
  </si>
  <si>
    <t>Загальний підсумок</t>
  </si>
  <si>
    <t>MAU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</si>
</sst>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quot;-&quot;mm&quot;-&quot;dd"/>
  </numFmts>
  <fonts count="4" x14ac:knownFonts="1">
    <font>
      <sz val="10"/>
      <color rgb="FF000000"/>
      <name val="Arial"/>
      <scheme val="minor"/>
    </font>
    <font>
      <sz val="10"/>
      <color theme="1"/>
      <name val="Arial"/>
      <scheme val="minor"/>
    </font>
    <font>
      <sz val="11"/>
      <color rgb="FF000000"/>
      <name val="Calibri"/>
    </font>
    <font>
      <sz val="10"/>
      <color theme="1"/>
      <name val="Arial"/>
      <family val="2"/>
      <scheme val="minor"/>
    </font>
  </fonts>
  <fills count="7">
    <fill>
      <patternFill patternType="none"/>
    </fill>
    <fill>
      <patternFill patternType="gray125"/>
    </fill>
    <fill>
      <patternFill patternType="solid">
        <fgColor rgb="FF6D9EEB"/>
        <bgColor rgb="FF6D9EEB"/>
      </patternFill>
    </fill>
    <fill>
      <patternFill patternType="solid">
        <fgColor rgb="FFA4C2F4"/>
        <bgColor rgb="FFA4C2F4"/>
      </patternFill>
    </fill>
    <fill>
      <patternFill patternType="solid">
        <fgColor rgb="FFCFE2F3"/>
        <bgColor rgb="FFCFE2F3"/>
      </patternFill>
    </fill>
    <fill>
      <patternFill patternType="solid">
        <fgColor rgb="FFFFFFFF"/>
        <bgColor rgb="FFFFFFFF"/>
      </patternFill>
    </fill>
    <fill>
      <patternFill patternType="solid">
        <fgColor rgb="FFE9F8DE"/>
        <bgColor rgb="FFE9F8DE"/>
      </patternFill>
    </fill>
  </fills>
  <borders count="18">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1">
    <xf numFmtId="0" fontId="0" fillId="0" borderId="0" xfId="0" applyFont="1" applyAlignment="1"/>
    <xf numFmtId="0" fontId="1" fillId="0" borderId="0" xfId="0" applyFont="1" applyAlignment="1"/>
    <xf numFmtId="3" fontId="1" fillId="0" borderId="0" xfId="0" applyNumberFormat="1" applyFont="1" applyAlignment="1"/>
    <xf numFmtId="164" fontId="1" fillId="0" borderId="0" xfId="0" applyNumberFormat="1" applyFont="1" applyAlignment="1"/>
    <xf numFmtId="3" fontId="2" fillId="0" borderId="0" xfId="0" applyNumberFormat="1" applyFont="1" applyAlignment="1">
      <alignment horizontal="right"/>
    </xf>
    <xf numFmtId="0" fontId="1" fillId="2" borderId="0" xfId="0" applyFont="1" applyFill="1"/>
    <xf numFmtId="3" fontId="1" fillId="0" borderId="0" xfId="0" applyNumberFormat="1" applyFont="1"/>
    <xf numFmtId="164" fontId="1" fillId="0" borderId="0" xfId="0" applyNumberFormat="1" applyFont="1"/>
    <xf numFmtId="3" fontId="1" fillId="3" borderId="0" xfId="0" applyNumberFormat="1" applyFont="1" applyFill="1"/>
    <xf numFmtId="164" fontId="1" fillId="4" borderId="0" xfId="0" applyNumberFormat="1" applyFont="1" applyFill="1"/>
    <xf numFmtId="9" fontId="1" fillId="5" borderId="0" xfId="0" applyNumberFormat="1" applyFont="1" applyFill="1"/>
    <xf numFmtId="10" fontId="1" fillId="0" borderId="0" xfId="0" applyNumberFormat="1" applyFont="1"/>
    <xf numFmtId="0" fontId="1" fillId="0" borderId="0" xfId="0" applyFont="1" applyAlignment="1">
      <alignment horizontal="center" vertical="center"/>
    </xf>
    <xf numFmtId="0" fontId="0" fillId="0" borderId="1" xfId="0" pivotButton="1" applyFont="1" applyBorder="1" applyAlignment="1"/>
    <xf numFmtId="0" fontId="0" fillId="0" borderId="2" xfId="0" applyFont="1" applyBorder="1" applyAlignment="1"/>
    <xf numFmtId="0" fontId="0" fillId="0" borderId="3" xfId="0" applyFont="1" applyBorder="1" applyAlignment="1"/>
    <xf numFmtId="3" fontId="0" fillId="0" borderId="1" xfId="0" applyNumberFormat="1" applyFont="1" applyBorder="1" applyAlignment="1"/>
    <xf numFmtId="3" fontId="0" fillId="0" borderId="4" xfId="0" applyNumberFormat="1" applyFont="1" applyBorder="1" applyAlignment="1"/>
    <xf numFmtId="3" fontId="0" fillId="0" borderId="5" xfId="0" applyNumberFormat="1" applyFont="1" applyBorder="1" applyAlignment="1"/>
    <xf numFmtId="164" fontId="0" fillId="0" borderId="1" xfId="0" applyNumberFormat="1" applyFont="1" applyBorder="1" applyAlignment="1"/>
    <xf numFmtId="0" fontId="0" fillId="0" borderId="1" xfId="0" applyNumberFormat="1" applyFont="1" applyBorder="1" applyAlignment="1"/>
    <xf numFmtId="0" fontId="0" fillId="0" borderId="4" xfId="0" applyNumberFormat="1" applyFont="1" applyBorder="1" applyAlignment="1"/>
    <xf numFmtId="0" fontId="0" fillId="0" borderId="5" xfId="0" applyNumberFormat="1" applyFont="1" applyBorder="1" applyAlignment="1"/>
    <xf numFmtId="164" fontId="0" fillId="0" borderId="6" xfId="0" applyNumberFormat="1" applyFont="1" applyBorder="1" applyAlignment="1"/>
    <xf numFmtId="0" fontId="0" fillId="0" borderId="6" xfId="0" applyNumberFormat="1" applyFont="1" applyBorder="1" applyAlignment="1"/>
    <xf numFmtId="0" fontId="0" fillId="0" borderId="0" xfId="0" applyNumberFormat="1" applyFont="1" applyAlignment="1"/>
    <xf numFmtId="0" fontId="0" fillId="0" borderId="7" xfId="0" applyNumberFormat="1" applyFont="1" applyBorder="1" applyAlignment="1"/>
    <xf numFmtId="164" fontId="0" fillId="0" borderId="8" xfId="0" applyNumberFormat="1" applyFont="1" applyBorder="1" applyAlignment="1"/>
    <xf numFmtId="0" fontId="0" fillId="0" borderId="8" xfId="0" applyNumberFormat="1" applyFont="1" applyBorder="1" applyAlignment="1"/>
    <xf numFmtId="0" fontId="0" fillId="0" borderId="9" xfId="0" applyNumberFormat="1" applyFont="1" applyBorder="1" applyAlignment="1"/>
    <xf numFmtId="0" fontId="0" fillId="0" borderId="10" xfId="0" applyNumberFormat="1" applyFont="1" applyBorder="1" applyAlignment="1"/>
    <xf numFmtId="0" fontId="1" fillId="0" borderId="0" xfId="0" applyFont="1" applyAlignment="1">
      <alignment horizontal="left" vertical="top" wrapText="1"/>
    </xf>
    <xf numFmtId="0" fontId="1" fillId="6" borderId="12" xfId="0" applyFont="1" applyFill="1" applyBorder="1" applyAlignment="1">
      <alignment horizontal="center" vertical="center"/>
    </xf>
    <xf numFmtId="0" fontId="1" fillId="6" borderId="13" xfId="0" applyFont="1" applyFill="1" applyBorder="1" applyAlignment="1">
      <alignment horizontal="left" vertical="top" wrapText="1"/>
    </xf>
    <xf numFmtId="0" fontId="1" fillId="6" borderId="14" xfId="0" applyFont="1" applyFill="1" applyBorder="1" applyAlignment="1">
      <alignment horizontal="center" vertical="center"/>
    </xf>
    <xf numFmtId="0" fontId="1" fillId="6" borderId="15" xfId="0" applyFont="1" applyFill="1" applyBorder="1" applyAlignment="1">
      <alignment horizontal="left" vertical="top" wrapText="1"/>
    </xf>
    <xf numFmtId="0" fontId="1" fillId="6" borderId="16" xfId="0" applyFont="1" applyFill="1" applyBorder="1" applyAlignment="1">
      <alignment horizontal="center" vertical="center"/>
    </xf>
    <xf numFmtId="0" fontId="1" fillId="6" borderId="17" xfId="0" applyFont="1" applyFill="1" applyBorder="1" applyAlignment="1">
      <alignment horizontal="left" vertical="top" wrapText="1"/>
    </xf>
    <xf numFmtId="0" fontId="1" fillId="6" borderId="11" xfId="0" applyFont="1" applyFill="1" applyBorder="1" applyAlignment="1">
      <alignment horizontal="center" vertical="center"/>
    </xf>
    <xf numFmtId="0" fontId="1" fillId="6" borderId="11" xfId="0" applyFont="1" applyFill="1" applyBorder="1" applyAlignment="1">
      <alignment horizontal="left" vertical="top" wrapText="1"/>
    </xf>
    <xf numFmtId="0" fontId="3" fillId="2" borderId="0" xfId="0" applyFont="1" applyFill="1" applyAlignment="1"/>
  </cellXfs>
  <cellStyles count="1">
    <cellStyle name="Звичайний" xfId="0" builtinId="0"/>
  </cellStyles>
  <dxfs count="14">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s>
  <tableStyles count="2">
    <tableStyle name="Conclusions-style" pivot="0" count="3" xr9:uid="{00000000-0011-0000-FFFF-FFFF00000000}">
      <tableStyleElement type="headerRow" dxfId="13"/>
      <tableStyleElement type="firstRowStripe" dxfId="12"/>
      <tableStyleElement type="secondRowStripe" dxfId="11"/>
    </tableStyle>
    <tableStyle name="Conclusions-style 2" pivot="0" count="3" xr9:uid="{00000000-0011-0000-FFFF-FFFF01000000}">
      <tableStyleElement type="header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95250</xdr:colOff>
      <xdr:row>0</xdr:row>
      <xdr:rowOff>0</xdr:rowOff>
    </xdr:from>
    <xdr:ext cx="2857500" cy="2857500"/>
    <mc:AlternateContent xmlns:mc="http://schemas.openxmlformats.org/markup-compatibility/2006" xmlns:sle15="http://schemas.microsoft.com/office/drawing/2012/slicer">
      <mc:Choice Requires="sle15">
        <xdr:graphicFrame macro="">
          <xdr:nvGraphicFramePr>
            <xdr:cNvPr id="2" name="promo_signup_flag_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promo_signup_flag_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133350</xdr:colOff>
      <xdr:row>4</xdr:row>
      <xdr:rowOff>85725</xdr:rowOff>
    </xdr:from>
    <xdr:ext cx="6943725" cy="1847850"/>
    <xdr:pic>
      <xdr:nvPicPr>
        <xdr:cNvPr id="3" name="image2.png" title="Зображення">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1" cstate="print"/>
        <a:stretch>
          <a:fillRect/>
        </a:stretch>
      </xdr:blipFill>
      <xdr:spPr>
        <a:xfrm>
          <a:off x="7748588" y="885825"/>
          <a:ext cx="6943725" cy="1847850"/>
        </a:xfrm>
        <a:prstGeom prst="rect">
          <a:avLst/>
        </a:prstGeom>
        <a:noFill/>
      </xdr:spPr>
    </xdr:pic>
    <xdr:clientData fLocksWithSheet="0"/>
  </xdr:oneCellAnchor>
  <xdr:oneCellAnchor>
    <xdr:from>
      <xdr:col>8</xdr:col>
      <xdr:colOff>171450</xdr:colOff>
      <xdr:row>13</xdr:row>
      <xdr:rowOff>176213</xdr:rowOff>
    </xdr:from>
    <xdr:ext cx="7000875" cy="1704975"/>
    <xdr:pic>
      <xdr:nvPicPr>
        <xdr:cNvPr id="4" name="image1.png" title="Зображення">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2" cstate="print"/>
        <a:stretch>
          <a:fillRect/>
        </a:stretch>
      </xdr:blipFill>
      <xdr:spPr>
        <a:xfrm>
          <a:off x="7786688" y="2776538"/>
          <a:ext cx="7000875" cy="1704975"/>
        </a:xfrm>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Cristi Jianu" refreshedDate="46185.006882175927" refreshedVersion="7" recordCount="42" xr:uid="{00000000-000A-0000-FFFF-FFFF00000000}">
  <cacheSource type="worksheet">
    <worksheetSource ref="A1:D43" sheet="Data"/>
  </cacheSource>
  <cacheFields count="4">
    <cacheField name="promo_signup_flag" numFmtId="3">
      <sharedItems containsSemiMixedTypes="0" containsString="0" containsNumber="1" containsInteger="1" minValue="0" maxValue="1"/>
    </cacheField>
    <cacheField name="cohort_month" numFmtId="164">
      <sharedItems containsSemiMixedTypes="0" containsNonDate="0" containsDate="1" containsString="0" minDate="2025-01-01T00:00:00" maxDate="2025-06-02T00:00:00" count="6">
        <d v="2025-01-01T00:00:00"/>
        <d v="2025-02-01T00:00:00"/>
        <d v="2025-03-01T00:00:00"/>
        <d v="2025-04-01T00:00:00"/>
        <d v="2025-05-01T00:00:00"/>
        <d v="2025-06-01T00:00:00"/>
      </sharedItems>
    </cacheField>
    <cacheField name="month_offset" numFmtId="3">
      <sharedItems containsSemiMixedTypes="0" containsString="0" containsNumber="1" containsInteger="1" minValue="0" maxValue="5" count="6">
        <n v="0"/>
        <n v="1"/>
        <n v="2"/>
        <n v="3"/>
        <n v="4"/>
        <n v="5"/>
      </sharedItems>
    </cacheField>
    <cacheField name="users_total" numFmtId="3">
      <sharedItems containsSemiMixedTypes="0" containsString="0" containsNumber="1" containsInteger="1" minValue="3" maxValue="7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n v="0"/>
    <x v="0"/>
    <x v="0"/>
    <n v="70"/>
  </r>
  <r>
    <n v="0"/>
    <x v="0"/>
    <x v="1"/>
    <n v="58"/>
  </r>
  <r>
    <n v="0"/>
    <x v="0"/>
    <x v="2"/>
    <n v="54"/>
  </r>
  <r>
    <n v="0"/>
    <x v="0"/>
    <x v="3"/>
    <n v="52"/>
  </r>
  <r>
    <n v="0"/>
    <x v="0"/>
    <x v="4"/>
    <n v="43"/>
  </r>
  <r>
    <n v="0"/>
    <x v="0"/>
    <x v="5"/>
    <n v="39"/>
  </r>
  <r>
    <n v="0"/>
    <x v="1"/>
    <x v="0"/>
    <n v="63"/>
  </r>
  <r>
    <n v="0"/>
    <x v="1"/>
    <x v="1"/>
    <n v="46"/>
  </r>
  <r>
    <n v="0"/>
    <x v="1"/>
    <x v="2"/>
    <n v="48"/>
  </r>
  <r>
    <n v="0"/>
    <x v="1"/>
    <x v="3"/>
    <n v="49"/>
  </r>
  <r>
    <n v="0"/>
    <x v="1"/>
    <x v="4"/>
    <n v="43"/>
  </r>
  <r>
    <n v="0"/>
    <x v="2"/>
    <x v="0"/>
    <n v="51"/>
  </r>
  <r>
    <n v="0"/>
    <x v="2"/>
    <x v="1"/>
    <n v="41"/>
  </r>
  <r>
    <n v="0"/>
    <x v="2"/>
    <x v="2"/>
    <n v="47"/>
  </r>
  <r>
    <n v="0"/>
    <x v="2"/>
    <x v="3"/>
    <n v="41"/>
  </r>
  <r>
    <n v="0"/>
    <x v="3"/>
    <x v="0"/>
    <n v="61"/>
  </r>
  <r>
    <n v="0"/>
    <x v="3"/>
    <x v="1"/>
    <n v="50"/>
  </r>
  <r>
    <n v="0"/>
    <x v="3"/>
    <x v="2"/>
    <n v="47"/>
  </r>
  <r>
    <n v="0"/>
    <x v="4"/>
    <x v="0"/>
    <n v="63"/>
  </r>
  <r>
    <n v="0"/>
    <x v="4"/>
    <x v="1"/>
    <n v="55"/>
  </r>
  <r>
    <n v="0"/>
    <x v="5"/>
    <x v="0"/>
    <n v="50"/>
  </r>
  <r>
    <n v="1"/>
    <x v="0"/>
    <x v="0"/>
    <n v="34"/>
  </r>
  <r>
    <n v="1"/>
    <x v="0"/>
    <x v="1"/>
    <n v="21"/>
  </r>
  <r>
    <n v="1"/>
    <x v="0"/>
    <x v="2"/>
    <n v="17"/>
  </r>
  <r>
    <n v="1"/>
    <x v="0"/>
    <x v="3"/>
    <n v="3"/>
  </r>
  <r>
    <n v="1"/>
    <x v="0"/>
    <x v="4"/>
    <n v="6"/>
  </r>
  <r>
    <n v="1"/>
    <x v="0"/>
    <x v="5"/>
    <n v="3"/>
  </r>
  <r>
    <n v="1"/>
    <x v="1"/>
    <x v="0"/>
    <n v="41"/>
  </r>
  <r>
    <n v="1"/>
    <x v="1"/>
    <x v="1"/>
    <n v="24"/>
  </r>
  <r>
    <n v="1"/>
    <x v="1"/>
    <x v="2"/>
    <n v="17"/>
  </r>
  <r>
    <n v="1"/>
    <x v="1"/>
    <x v="3"/>
    <n v="13"/>
  </r>
  <r>
    <n v="1"/>
    <x v="1"/>
    <x v="4"/>
    <n v="8"/>
  </r>
  <r>
    <n v="1"/>
    <x v="2"/>
    <x v="0"/>
    <n v="31"/>
  </r>
  <r>
    <n v="1"/>
    <x v="2"/>
    <x v="1"/>
    <n v="18"/>
  </r>
  <r>
    <n v="1"/>
    <x v="2"/>
    <x v="2"/>
    <n v="14"/>
  </r>
  <r>
    <n v="1"/>
    <x v="2"/>
    <x v="3"/>
    <n v="11"/>
  </r>
  <r>
    <n v="1"/>
    <x v="3"/>
    <x v="0"/>
    <n v="44"/>
  </r>
  <r>
    <n v="1"/>
    <x v="3"/>
    <x v="1"/>
    <n v="24"/>
  </r>
  <r>
    <n v="1"/>
    <x v="3"/>
    <x v="2"/>
    <n v="14"/>
  </r>
  <r>
    <n v="1"/>
    <x v="4"/>
    <x v="0"/>
    <n v="45"/>
  </r>
  <r>
    <n v="1"/>
    <x v="4"/>
    <x v="1"/>
    <n v="21"/>
  </r>
  <r>
    <n v="1"/>
    <x v="5"/>
    <x v="0"/>
    <n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Cohort_tables" cacheId="4" applyNumberFormats="0" applyBorderFormats="0" applyFontFormats="0" applyPatternFormats="0" applyAlignmentFormats="0" applyWidthHeightFormats="0" dataCaption="" updatedVersion="7" compact="0" compactData="0">
  <location ref="A1:H9" firstHeaderRow="1" firstDataRow="2" firstDataCol="1"/>
  <pivotFields count="4">
    <pivotField name="promo_signup_flag" compact="0" numFmtId="3" outline="0" multipleItemSelectionAllowed="1" showAll="0"/>
    <pivotField name="cohort_month" axis="axisRow" compact="0" numFmtId="164" outline="0" multipleItemSelectionAllowed="1" showAll="0" sortType="ascending">
      <items count="7">
        <item x="0"/>
        <item x="1"/>
        <item x="2"/>
        <item x="3"/>
        <item x="4"/>
        <item x="5"/>
        <item t="default"/>
      </items>
    </pivotField>
    <pivotField name="month_offset" axis="axisCol" compact="0" numFmtId="3" outline="0" multipleItemSelectionAllowed="1" showAll="0" sortType="ascending">
      <items count="7">
        <item x="0"/>
        <item x="1"/>
        <item x="2"/>
        <item x="3"/>
        <item x="4"/>
        <item x="5"/>
        <item t="default"/>
      </items>
    </pivotField>
    <pivotField name="users_total" dataField="1" compact="0" numFmtId="3" outline="0" multipleItemSelectionAllowed="1" showAll="0"/>
  </pivotFields>
  <rowFields count="1">
    <field x="1"/>
  </rowFields>
  <rowItems count="7">
    <i>
      <x/>
    </i>
    <i>
      <x v="1"/>
    </i>
    <i>
      <x v="2"/>
    </i>
    <i>
      <x v="3"/>
    </i>
    <i>
      <x v="4"/>
    </i>
    <i>
      <x v="5"/>
    </i>
    <i t="grand">
      <x/>
    </i>
  </rowItems>
  <colFields count="1">
    <field x="2"/>
  </colFields>
  <colItems count="7">
    <i>
      <x/>
    </i>
    <i>
      <x v="1"/>
    </i>
    <i>
      <x v="2"/>
    </i>
    <i>
      <x v="3"/>
    </i>
    <i>
      <x v="4"/>
    </i>
    <i>
      <x v="5"/>
    </i>
    <i t="grand">
      <x/>
    </i>
  </colItems>
  <dataFields count="1">
    <dataField name="Загальні користувачі" fld="3"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 xr10:uid="{00000000-0013-0000-FFFF-FFFF01000000}" sourceName="promo_signup_flag">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mo_signup_flag_1" xr10:uid="{00000000-0014-0000-FFFF-FFFF01000000}" cache="SlicerCache_Table_1_Col_1" caption="promo_signup_flag"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D43">
  <autoFilter ref="A1:D43" xr:uid="{00000000-0009-0000-0100-000001000000}"/>
  <tableColumns count="4">
    <tableColumn id="1" xr3:uid="{00000000-0010-0000-0000-000001000000}" name="promo_signup_flag"/>
    <tableColumn id="2" xr3:uid="{00000000-0010-0000-0000-000002000000}" name="cohort_month"/>
    <tableColumn id="3" xr3:uid="{00000000-0010-0000-0000-000003000000}" name="month_offset"/>
    <tableColumn id="4" xr3:uid="{00000000-0010-0000-0000-000004000000}" name="users_total"/>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B7" headerRowCount="0" headerRowDxfId="4" totalsRowDxfId="3" tableBorderDxfId="7">
  <tableColumns count="2">
    <tableColumn id="1" xr3:uid="{00000000-0010-0000-0100-000001000000}" name="Column1" dataDxfId="6"/>
    <tableColumn id="2" xr3:uid="{00000000-0010-0000-0100-000002000000}" name="Column2" dataDxfId="5"/>
  </tableColumns>
  <tableStyleInfo name="Conclusions-style"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9:A15" headerRowCount="0" headerRowDxfId="1" totalsRowDxfId="0">
  <tableColumns count="1">
    <tableColumn id="1" xr3:uid="{00000000-0010-0000-0200-000001000000}" name="Column1" dataDxfId="2"/>
  </tableColumns>
  <tableStyleInfo name="Conclusions-style 2"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43"/>
  <sheetViews>
    <sheetView workbookViewId="0"/>
  </sheetViews>
  <sheetFormatPr defaultColWidth="12.59765625" defaultRowHeight="15.75" customHeight="1" x14ac:dyDescent="0.35"/>
  <sheetData>
    <row r="1" spans="1:4" x14ac:dyDescent="0.35">
      <c r="A1" s="1" t="s">
        <v>0</v>
      </c>
      <c r="B1" s="1" t="s">
        <v>1</v>
      </c>
      <c r="C1" s="1" t="s">
        <v>2</v>
      </c>
      <c r="D1" s="1" t="s">
        <v>3</v>
      </c>
    </row>
    <row r="2" spans="1:4" ht="15.75" customHeight="1" x14ac:dyDescent="0.45">
      <c r="A2" s="2">
        <v>0</v>
      </c>
      <c r="B2" s="3">
        <v>45658</v>
      </c>
      <c r="C2" s="4">
        <v>0</v>
      </c>
      <c r="D2" s="2">
        <v>70</v>
      </c>
    </row>
    <row r="3" spans="1:4" ht="15.75" customHeight="1" x14ac:dyDescent="0.45">
      <c r="A3" s="2">
        <v>0</v>
      </c>
      <c r="B3" s="3">
        <v>45658</v>
      </c>
      <c r="C3" s="4">
        <v>1</v>
      </c>
      <c r="D3" s="2">
        <v>58</v>
      </c>
    </row>
    <row r="4" spans="1:4" ht="15.75" customHeight="1" x14ac:dyDescent="0.45">
      <c r="A4" s="2">
        <v>0</v>
      </c>
      <c r="B4" s="3">
        <v>45658</v>
      </c>
      <c r="C4" s="4">
        <v>2</v>
      </c>
      <c r="D4" s="2">
        <v>54</v>
      </c>
    </row>
    <row r="5" spans="1:4" ht="15.75" customHeight="1" x14ac:dyDescent="0.45">
      <c r="A5" s="2">
        <v>0</v>
      </c>
      <c r="B5" s="3">
        <v>45658</v>
      </c>
      <c r="C5" s="4">
        <v>3</v>
      </c>
      <c r="D5" s="2">
        <v>52</v>
      </c>
    </row>
    <row r="6" spans="1:4" ht="15.75" customHeight="1" x14ac:dyDescent="0.45">
      <c r="A6" s="2">
        <v>0</v>
      </c>
      <c r="B6" s="3">
        <v>45658</v>
      </c>
      <c r="C6" s="4">
        <v>4</v>
      </c>
      <c r="D6" s="2">
        <v>43</v>
      </c>
    </row>
    <row r="7" spans="1:4" ht="15.75" customHeight="1" x14ac:dyDescent="0.45">
      <c r="A7" s="2">
        <v>0</v>
      </c>
      <c r="B7" s="3">
        <v>45658</v>
      </c>
      <c r="C7" s="4">
        <v>5</v>
      </c>
      <c r="D7" s="2">
        <v>39</v>
      </c>
    </row>
    <row r="8" spans="1:4" ht="15.75" customHeight="1" x14ac:dyDescent="0.45">
      <c r="A8" s="2">
        <v>0</v>
      </c>
      <c r="B8" s="3">
        <v>45689</v>
      </c>
      <c r="C8" s="4">
        <v>0</v>
      </c>
      <c r="D8" s="2">
        <v>63</v>
      </c>
    </row>
    <row r="9" spans="1:4" ht="15.75" customHeight="1" x14ac:dyDescent="0.45">
      <c r="A9" s="2">
        <v>0</v>
      </c>
      <c r="B9" s="3">
        <v>45689</v>
      </c>
      <c r="C9" s="4">
        <v>1</v>
      </c>
      <c r="D9" s="2">
        <v>46</v>
      </c>
    </row>
    <row r="10" spans="1:4" ht="15.75" customHeight="1" x14ac:dyDescent="0.45">
      <c r="A10" s="2">
        <v>0</v>
      </c>
      <c r="B10" s="3">
        <v>45689</v>
      </c>
      <c r="C10" s="4">
        <v>2</v>
      </c>
      <c r="D10" s="2">
        <v>48</v>
      </c>
    </row>
    <row r="11" spans="1:4" ht="15.75" customHeight="1" x14ac:dyDescent="0.45">
      <c r="A11" s="2">
        <v>0</v>
      </c>
      <c r="B11" s="3">
        <v>45689</v>
      </c>
      <c r="C11" s="4">
        <v>3</v>
      </c>
      <c r="D11" s="2">
        <v>49</v>
      </c>
    </row>
    <row r="12" spans="1:4" ht="15.75" customHeight="1" x14ac:dyDescent="0.45">
      <c r="A12" s="2">
        <v>0</v>
      </c>
      <c r="B12" s="3">
        <v>45689</v>
      </c>
      <c r="C12" s="4">
        <v>4</v>
      </c>
      <c r="D12" s="2">
        <v>43</v>
      </c>
    </row>
    <row r="13" spans="1:4" ht="15.75" customHeight="1" x14ac:dyDescent="0.45">
      <c r="A13" s="2">
        <v>0</v>
      </c>
      <c r="B13" s="3">
        <v>45717</v>
      </c>
      <c r="C13" s="4">
        <v>0</v>
      </c>
      <c r="D13" s="2">
        <v>51</v>
      </c>
    </row>
    <row r="14" spans="1:4" ht="15.75" customHeight="1" x14ac:dyDescent="0.45">
      <c r="A14" s="2">
        <v>0</v>
      </c>
      <c r="B14" s="3">
        <v>45717</v>
      </c>
      <c r="C14" s="4">
        <v>1</v>
      </c>
      <c r="D14" s="2">
        <v>41</v>
      </c>
    </row>
    <row r="15" spans="1:4" ht="15.75" customHeight="1" x14ac:dyDescent="0.45">
      <c r="A15" s="2">
        <v>0</v>
      </c>
      <c r="B15" s="3">
        <v>45717</v>
      </c>
      <c r="C15" s="4">
        <v>2</v>
      </c>
      <c r="D15" s="2">
        <v>47</v>
      </c>
    </row>
    <row r="16" spans="1:4" ht="15.75" customHeight="1" x14ac:dyDescent="0.45">
      <c r="A16" s="2">
        <v>0</v>
      </c>
      <c r="B16" s="3">
        <v>45717</v>
      </c>
      <c r="C16" s="4">
        <v>3</v>
      </c>
      <c r="D16" s="2">
        <v>41</v>
      </c>
    </row>
    <row r="17" spans="1:4" ht="15.75" customHeight="1" x14ac:dyDescent="0.45">
      <c r="A17" s="2">
        <v>0</v>
      </c>
      <c r="B17" s="3">
        <v>45748</v>
      </c>
      <c r="C17" s="4">
        <v>0</v>
      </c>
      <c r="D17" s="2">
        <v>61</v>
      </c>
    </row>
    <row r="18" spans="1:4" ht="15.75" customHeight="1" x14ac:dyDescent="0.45">
      <c r="A18" s="2">
        <v>0</v>
      </c>
      <c r="B18" s="3">
        <v>45748</v>
      </c>
      <c r="C18" s="4">
        <v>1</v>
      </c>
      <c r="D18" s="2">
        <v>50</v>
      </c>
    </row>
    <row r="19" spans="1:4" ht="15.75" customHeight="1" x14ac:dyDescent="0.45">
      <c r="A19" s="2">
        <v>0</v>
      </c>
      <c r="B19" s="3">
        <v>45748</v>
      </c>
      <c r="C19" s="4">
        <v>2</v>
      </c>
      <c r="D19" s="2">
        <v>47</v>
      </c>
    </row>
    <row r="20" spans="1:4" ht="15.75" customHeight="1" x14ac:dyDescent="0.45">
      <c r="A20" s="2">
        <v>0</v>
      </c>
      <c r="B20" s="3">
        <v>45778</v>
      </c>
      <c r="C20" s="4">
        <v>0</v>
      </c>
      <c r="D20" s="2">
        <v>63</v>
      </c>
    </row>
    <row r="21" spans="1:4" ht="15.75" customHeight="1" x14ac:dyDescent="0.45">
      <c r="A21" s="2">
        <v>0</v>
      </c>
      <c r="B21" s="3">
        <v>45778</v>
      </c>
      <c r="C21" s="4">
        <v>1</v>
      </c>
      <c r="D21" s="2">
        <v>55</v>
      </c>
    </row>
    <row r="22" spans="1:4" ht="15.75" customHeight="1" x14ac:dyDescent="0.45">
      <c r="A22" s="2">
        <v>0</v>
      </c>
      <c r="B22" s="3">
        <v>45809</v>
      </c>
      <c r="C22" s="4">
        <v>0</v>
      </c>
      <c r="D22" s="2">
        <v>50</v>
      </c>
    </row>
    <row r="23" spans="1:4" ht="15.75" customHeight="1" x14ac:dyDescent="0.45">
      <c r="A23" s="2">
        <v>1</v>
      </c>
      <c r="B23" s="3">
        <v>45658</v>
      </c>
      <c r="C23" s="4">
        <v>0</v>
      </c>
      <c r="D23" s="2">
        <v>34</v>
      </c>
    </row>
    <row r="24" spans="1:4" ht="15.75" customHeight="1" x14ac:dyDescent="0.45">
      <c r="A24" s="2">
        <v>1</v>
      </c>
      <c r="B24" s="3">
        <v>45658</v>
      </c>
      <c r="C24" s="4">
        <v>1</v>
      </c>
      <c r="D24" s="2">
        <v>21</v>
      </c>
    </row>
    <row r="25" spans="1:4" ht="15.75" customHeight="1" x14ac:dyDescent="0.45">
      <c r="A25" s="2">
        <v>1</v>
      </c>
      <c r="B25" s="3">
        <v>45658</v>
      </c>
      <c r="C25" s="4">
        <v>2</v>
      </c>
      <c r="D25" s="2">
        <v>17</v>
      </c>
    </row>
    <row r="26" spans="1:4" ht="15.75" customHeight="1" x14ac:dyDescent="0.45">
      <c r="A26" s="2">
        <v>1</v>
      </c>
      <c r="B26" s="3">
        <v>45658</v>
      </c>
      <c r="C26" s="4">
        <v>3</v>
      </c>
      <c r="D26" s="2">
        <v>3</v>
      </c>
    </row>
    <row r="27" spans="1:4" ht="15.75" customHeight="1" x14ac:dyDescent="0.45">
      <c r="A27" s="2">
        <v>1</v>
      </c>
      <c r="B27" s="3">
        <v>45658</v>
      </c>
      <c r="C27" s="4">
        <v>4</v>
      </c>
      <c r="D27" s="2">
        <v>6</v>
      </c>
    </row>
    <row r="28" spans="1:4" ht="15.75" customHeight="1" x14ac:dyDescent="0.45">
      <c r="A28" s="2">
        <v>1</v>
      </c>
      <c r="B28" s="3">
        <v>45658</v>
      </c>
      <c r="C28" s="4">
        <v>5</v>
      </c>
      <c r="D28" s="2">
        <v>3</v>
      </c>
    </row>
    <row r="29" spans="1:4" ht="15.75" customHeight="1" x14ac:dyDescent="0.45">
      <c r="A29" s="2">
        <v>1</v>
      </c>
      <c r="B29" s="3">
        <v>45689</v>
      </c>
      <c r="C29" s="4">
        <v>0</v>
      </c>
      <c r="D29" s="2">
        <v>41</v>
      </c>
    </row>
    <row r="30" spans="1:4" ht="14.25" x14ac:dyDescent="0.45">
      <c r="A30" s="2">
        <v>1</v>
      </c>
      <c r="B30" s="3">
        <v>45689</v>
      </c>
      <c r="C30" s="4">
        <v>1</v>
      </c>
      <c r="D30" s="2">
        <v>24</v>
      </c>
    </row>
    <row r="31" spans="1:4" ht="14.25" x14ac:dyDescent="0.45">
      <c r="A31" s="2">
        <v>1</v>
      </c>
      <c r="B31" s="3">
        <v>45689</v>
      </c>
      <c r="C31" s="4">
        <v>2</v>
      </c>
      <c r="D31" s="2">
        <v>17</v>
      </c>
    </row>
    <row r="32" spans="1:4" ht="14.25" x14ac:dyDescent="0.45">
      <c r="A32" s="2">
        <v>1</v>
      </c>
      <c r="B32" s="3">
        <v>45689</v>
      </c>
      <c r="C32" s="4">
        <v>3</v>
      </c>
      <c r="D32" s="2">
        <v>13</v>
      </c>
    </row>
    <row r="33" spans="1:4" ht="14.25" x14ac:dyDescent="0.45">
      <c r="A33" s="2">
        <v>1</v>
      </c>
      <c r="B33" s="3">
        <v>45689</v>
      </c>
      <c r="C33" s="4">
        <v>4</v>
      </c>
      <c r="D33" s="2">
        <v>8</v>
      </c>
    </row>
    <row r="34" spans="1:4" ht="14.25" x14ac:dyDescent="0.45">
      <c r="A34" s="2">
        <v>1</v>
      </c>
      <c r="B34" s="3">
        <v>45717</v>
      </c>
      <c r="C34" s="4">
        <v>0</v>
      </c>
      <c r="D34" s="2">
        <v>31</v>
      </c>
    </row>
    <row r="35" spans="1:4" ht="14.25" x14ac:dyDescent="0.45">
      <c r="A35" s="2">
        <v>1</v>
      </c>
      <c r="B35" s="3">
        <v>45717</v>
      </c>
      <c r="C35" s="4">
        <v>1</v>
      </c>
      <c r="D35" s="2">
        <v>18</v>
      </c>
    </row>
    <row r="36" spans="1:4" ht="14.25" x14ac:dyDescent="0.45">
      <c r="A36" s="2">
        <v>1</v>
      </c>
      <c r="B36" s="3">
        <v>45717</v>
      </c>
      <c r="C36" s="4">
        <v>2</v>
      </c>
      <c r="D36" s="2">
        <v>14</v>
      </c>
    </row>
    <row r="37" spans="1:4" ht="14.25" x14ac:dyDescent="0.45">
      <c r="A37" s="2">
        <v>1</v>
      </c>
      <c r="B37" s="3">
        <v>45717</v>
      </c>
      <c r="C37" s="4">
        <v>3</v>
      </c>
      <c r="D37" s="2">
        <v>11</v>
      </c>
    </row>
    <row r="38" spans="1:4" ht="14.25" x14ac:dyDescent="0.45">
      <c r="A38" s="2">
        <v>1</v>
      </c>
      <c r="B38" s="3">
        <v>45748</v>
      </c>
      <c r="C38" s="4">
        <v>0</v>
      </c>
      <c r="D38" s="2">
        <v>44</v>
      </c>
    </row>
    <row r="39" spans="1:4" ht="14.25" x14ac:dyDescent="0.45">
      <c r="A39" s="2">
        <v>1</v>
      </c>
      <c r="B39" s="3">
        <v>45748</v>
      </c>
      <c r="C39" s="4">
        <v>1</v>
      </c>
      <c r="D39" s="2">
        <v>24</v>
      </c>
    </row>
    <row r="40" spans="1:4" ht="14.25" x14ac:dyDescent="0.45">
      <c r="A40" s="2">
        <v>1</v>
      </c>
      <c r="B40" s="3">
        <v>45748</v>
      </c>
      <c r="C40" s="4">
        <v>2</v>
      </c>
      <c r="D40" s="2">
        <v>14</v>
      </c>
    </row>
    <row r="41" spans="1:4" ht="14.25" x14ac:dyDescent="0.45">
      <c r="A41" s="2">
        <v>1</v>
      </c>
      <c r="B41" s="3">
        <v>45778</v>
      </c>
      <c r="C41" s="4">
        <v>0</v>
      </c>
      <c r="D41" s="2">
        <v>45</v>
      </c>
    </row>
    <row r="42" spans="1:4" ht="14.25" x14ac:dyDescent="0.45">
      <c r="A42" s="2">
        <v>1</v>
      </c>
      <c r="B42" s="3">
        <v>45778</v>
      </c>
      <c r="C42" s="4">
        <v>1</v>
      </c>
      <c r="D42" s="2">
        <v>21</v>
      </c>
    </row>
    <row r="43" spans="1:4" ht="14.25" x14ac:dyDescent="0.45">
      <c r="A43" s="2">
        <v>1</v>
      </c>
      <c r="B43" s="3">
        <v>45809</v>
      </c>
      <c r="C43" s="4">
        <v>0</v>
      </c>
      <c r="D43" s="2">
        <v>47</v>
      </c>
    </row>
  </sheetData>
  <customSheetViews>
    <customSheetView guid="{6E16A70E-D239-4D4F-8AE7-C49E0E96F26B}" filter="1" showAutoFilter="1">
      <pageMargins left="0.7" right="0.7" top="0.75" bottom="0.75" header="0.3" footer="0.3"/>
      <autoFilter ref="A1:D43" xr:uid="{BE759D35-607E-4B58-8B38-C9BA1FC81B26}"/>
    </customSheetView>
  </customSheetView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28"/>
  <sheetViews>
    <sheetView showGridLines="0" tabSelected="1" topLeftCell="A4" workbookViewId="0">
      <selection activeCell="C22" sqref="C22"/>
    </sheetView>
  </sheetViews>
  <sheetFormatPr defaultColWidth="12.59765625" defaultRowHeight="15.75" customHeight="1" x14ac:dyDescent="0.35"/>
  <cols>
    <col min="1" max="1" width="18.3984375" customWidth="1"/>
  </cols>
  <sheetData>
    <row r="1" spans="1:8" x14ac:dyDescent="0.35">
      <c r="A1" s="13" t="s">
        <v>4</v>
      </c>
      <c r="B1" s="13" t="s">
        <v>2</v>
      </c>
      <c r="C1" s="14"/>
      <c r="D1" s="14"/>
      <c r="E1" s="14"/>
      <c r="F1" s="14"/>
      <c r="G1" s="14"/>
      <c r="H1" s="15"/>
    </row>
    <row r="2" spans="1:8" x14ac:dyDescent="0.35">
      <c r="A2" s="13" t="s">
        <v>1</v>
      </c>
      <c r="B2" s="16">
        <v>0</v>
      </c>
      <c r="C2" s="17">
        <v>1</v>
      </c>
      <c r="D2" s="17">
        <v>2</v>
      </c>
      <c r="E2" s="17">
        <v>3</v>
      </c>
      <c r="F2" s="17">
        <v>4</v>
      </c>
      <c r="G2" s="17">
        <v>5</v>
      </c>
      <c r="H2" s="18" t="s">
        <v>20</v>
      </c>
    </row>
    <row r="3" spans="1:8" x14ac:dyDescent="0.35">
      <c r="A3" s="19">
        <v>45658</v>
      </c>
      <c r="B3" s="20">
        <v>104</v>
      </c>
      <c r="C3" s="21">
        <v>79</v>
      </c>
      <c r="D3" s="21">
        <v>71</v>
      </c>
      <c r="E3" s="21">
        <v>55</v>
      </c>
      <c r="F3" s="21">
        <v>49</v>
      </c>
      <c r="G3" s="21">
        <v>42</v>
      </c>
      <c r="H3" s="22">
        <v>400</v>
      </c>
    </row>
    <row r="4" spans="1:8" x14ac:dyDescent="0.35">
      <c r="A4" s="23">
        <v>45689</v>
      </c>
      <c r="B4" s="24">
        <v>104</v>
      </c>
      <c r="C4" s="25">
        <v>70</v>
      </c>
      <c r="D4" s="25">
        <v>65</v>
      </c>
      <c r="E4" s="25">
        <v>62</v>
      </c>
      <c r="F4" s="25">
        <v>51</v>
      </c>
      <c r="G4" s="25"/>
      <c r="H4" s="26">
        <v>352</v>
      </c>
    </row>
    <row r="5" spans="1:8" x14ac:dyDescent="0.35">
      <c r="A5" s="23">
        <v>45717</v>
      </c>
      <c r="B5" s="24">
        <v>82</v>
      </c>
      <c r="C5" s="25">
        <v>59</v>
      </c>
      <c r="D5" s="25">
        <v>61</v>
      </c>
      <c r="E5" s="25">
        <v>52</v>
      </c>
      <c r="F5" s="25"/>
      <c r="G5" s="25"/>
      <c r="H5" s="26">
        <v>254</v>
      </c>
    </row>
    <row r="6" spans="1:8" x14ac:dyDescent="0.35">
      <c r="A6" s="23">
        <v>45748</v>
      </c>
      <c r="B6" s="24">
        <v>105</v>
      </c>
      <c r="C6" s="25">
        <v>74</v>
      </c>
      <c r="D6" s="25">
        <v>61</v>
      </c>
      <c r="E6" s="25"/>
      <c r="F6" s="25"/>
      <c r="G6" s="25"/>
      <c r="H6" s="26">
        <v>240</v>
      </c>
    </row>
    <row r="7" spans="1:8" x14ac:dyDescent="0.35">
      <c r="A7" s="23">
        <v>45778</v>
      </c>
      <c r="B7" s="24">
        <v>108</v>
      </c>
      <c r="C7" s="25">
        <v>76</v>
      </c>
      <c r="D7" s="25"/>
      <c r="E7" s="25"/>
      <c r="F7" s="25"/>
      <c r="G7" s="25"/>
      <c r="H7" s="26">
        <v>184</v>
      </c>
    </row>
    <row r="8" spans="1:8" x14ac:dyDescent="0.35">
      <c r="A8" s="23">
        <v>45809</v>
      </c>
      <c r="B8" s="24">
        <v>97</v>
      </c>
      <c r="C8" s="25"/>
      <c r="D8" s="25"/>
      <c r="E8" s="25"/>
      <c r="F8" s="25"/>
      <c r="G8" s="25"/>
      <c r="H8" s="26">
        <v>97</v>
      </c>
    </row>
    <row r="9" spans="1:8" x14ac:dyDescent="0.35">
      <c r="A9" s="27" t="s">
        <v>20</v>
      </c>
      <c r="B9" s="28">
        <v>600</v>
      </c>
      <c r="C9" s="29">
        <v>358</v>
      </c>
      <c r="D9" s="29">
        <v>258</v>
      </c>
      <c r="E9" s="29">
        <v>169</v>
      </c>
      <c r="F9" s="29">
        <v>100</v>
      </c>
      <c r="G9" s="29">
        <v>42</v>
      </c>
      <c r="H9" s="30">
        <v>1527</v>
      </c>
    </row>
    <row r="12" spans="1:8" x14ac:dyDescent="0.35">
      <c r="A12" s="1" t="s">
        <v>5</v>
      </c>
      <c r="B12" s="5" t="s">
        <v>2</v>
      </c>
    </row>
    <row r="13" spans="1:8" x14ac:dyDescent="0.35">
      <c r="A13" s="5" t="s">
        <v>1</v>
      </c>
      <c r="B13" s="8">
        <v>0</v>
      </c>
      <c r="C13" s="8">
        <v>1</v>
      </c>
      <c r="D13" s="8">
        <v>2</v>
      </c>
      <c r="E13" s="8">
        <v>3</v>
      </c>
      <c r="F13" s="8">
        <v>4</v>
      </c>
      <c r="G13" s="8">
        <v>5</v>
      </c>
    </row>
    <row r="14" spans="1:8" x14ac:dyDescent="0.35">
      <c r="A14" s="9">
        <v>45658</v>
      </c>
      <c r="B14" s="10">
        <f t="shared" ref="B14:G14" si="0">IF(B3&gt;0,B3/$B3,"")</f>
        <v>1</v>
      </c>
      <c r="C14" s="10">
        <f t="shared" si="0"/>
        <v>0.75961538461538458</v>
      </c>
      <c r="D14" s="10">
        <f t="shared" si="0"/>
        <v>0.68269230769230771</v>
      </c>
      <c r="E14" s="10">
        <f t="shared" si="0"/>
        <v>0.52884615384615385</v>
      </c>
      <c r="F14" s="10">
        <f t="shared" si="0"/>
        <v>0.47115384615384615</v>
      </c>
      <c r="G14" s="10">
        <f t="shared" si="0"/>
        <v>0.40384615384615385</v>
      </c>
    </row>
    <row r="15" spans="1:8" x14ac:dyDescent="0.35">
      <c r="A15" s="9">
        <v>45689</v>
      </c>
      <c r="B15" s="10">
        <f t="shared" ref="B15:G15" si="1">IF(B4&gt;0,B4/$B4,"")</f>
        <v>1</v>
      </c>
      <c r="C15" s="10">
        <f t="shared" si="1"/>
        <v>0.67307692307692313</v>
      </c>
      <c r="D15" s="10">
        <f t="shared" si="1"/>
        <v>0.625</v>
      </c>
      <c r="E15" s="10">
        <f t="shared" si="1"/>
        <v>0.59615384615384615</v>
      </c>
      <c r="F15" s="10">
        <f t="shared" si="1"/>
        <v>0.49038461538461536</v>
      </c>
      <c r="G15" s="10" t="str">
        <f t="shared" si="1"/>
        <v/>
      </c>
    </row>
    <row r="16" spans="1:8" x14ac:dyDescent="0.35">
      <c r="A16" s="9">
        <v>45717</v>
      </c>
      <c r="B16" s="10">
        <f t="shared" ref="B16:G16" si="2">IF(B5&gt;0,B5/$B5,"")</f>
        <v>1</v>
      </c>
      <c r="C16" s="10">
        <f t="shared" si="2"/>
        <v>0.71951219512195119</v>
      </c>
      <c r="D16" s="10">
        <f t="shared" si="2"/>
        <v>0.74390243902439024</v>
      </c>
      <c r="E16" s="10">
        <f t="shared" si="2"/>
        <v>0.63414634146341464</v>
      </c>
      <c r="F16" s="10" t="str">
        <f t="shared" si="2"/>
        <v/>
      </c>
      <c r="G16" s="10" t="str">
        <f t="shared" si="2"/>
        <v/>
      </c>
    </row>
    <row r="17" spans="1:7" x14ac:dyDescent="0.35">
      <c r="A17" s="9">
        <v>45748</v>
      </c>
      <c r="B17" s="10">
        <f t="shared" ref="B17:G17" si="3">IF(B6&gt;0,B6/$B6,"")</f>
        <v>1</v>
      </c>
      <c r="C17" s="10">
        <f t="shared" si="3"/>
        <v>0.70476190476190481</v>
      </c>
      <c r="D17" s="10">
        <f t="shared" si="3"/>
        <v>0.580952380952381</v>
      </c>
      <c r="E17" s="10" t="str">
        <f t="shared" si="3"/>
        <v/>
      </c>
      <c r="F17" s="10" t="str">
        <f t="shared" si="3"/>
        <v/>
      </c>
      <c r="G17" s="10" t="str">
        <f t="shared" si="3"/>
        <v/>
      </c>
    </row>
    <row r="18" spans="1:7" x14ac:dyDescent="0.35">
      <c r="A18" s="9">
        <v>45778</v>
      </c>
      <c r="B18" s="10">
        <f t="shared" ref="B18:G18" si="4">IF(B7&gt;0,B7/$B7,"")</f>
        <v>1</v>
      </c>
      <c r="C18" s="10">
        <f t="shared" si="4"/>
        <v>0.70370370370370372</v>
      </c>
      <c r="D18" s="10" t="str">
        <f t="shared" si="4"/>
        <v/>
      </c>
      <c r="E18" s="10" t="str">
        <f t="shared" si="4"/>
        <v/>
      </c>
      <c r="F18" s="10" t="str">
        <f t="shared" si="4"/>
        <v/>
      </c>
      <c r="G18" s="10" t="str">
        <f t="shared" si="4"/>
        <v/>
      </c>
    </row>
    <row r="19" spans="1:7" x14ac:dyDescent="0.35">
      <c r="A19" s="9">
        <v>45809</v>
      </c>
      <c r="B19" s="10">
        <f t="shared" ref="B19:G19" si="5">IF(B8&gt;0,B8/$B8,"")</f>
        <v>1</v>
      </c>
      <c r="C19" s="10" t="str">
        <f t="shared" si="5"/>
        <v/>
      </c>
      <c r="D19" s="10" t="str">
        <f t="shared" si="5"/>
        <v/>
      </c>
      <c r="E19" s="10" t="str">
        <f t="shared" si="5"/>
        <v/>
      </c>
      <c r="F19" s="10" t="str">
        <f t="shared" si="5"/>
        <v/>
      </c>
      <c r="G19" s="10" t="str">
        <f t="shared" si="5"/>
        <v/>
      </c>
    </row>
    <row r="22" spans="1:7" x14ac:dyDescent="0.35">
      <c r="A22" s="40" t="s">
        <v>21</v>
      </c>
    </row>
    <row r="23" spans="1:7" x14ac:dyDescent="0.35">
      <c r="A23" s="7">
        <v>45658</v>
      </c>
      <c r="B23" s="6">
        <f>B3</f>
        <v>104</v>
      </c>
    </row>
    <row r="24" spans="1:7" x14ac:dyDescent="0.35">
      <c r="A24" s="7">
        <v>45689</v>
      </c>
      <c r="B24" s="6">
        <f>B4+C3</f>
        <v>183</v>
      </c>
      <c r="C24" s="11">
        <f t="shared" ref="C24:C28" si="6">(B24-B23)/B23</f>
        <v>0.75961538461538458</v>
      </c>
    </row>
    <row r="25" spans="1:7" x14ac:dyDescent="0.35">
      <c r="A25" s="7">
        <v>45717</v>
      </c>
      <c r="B25" s="6">
        <f>B5+C4+D3</f>
        <v>223</v>
      </c>
      <c r="C25" s="11">
        <f t="shared" si="6"/>
        <v>0.21857923497267759</v>
      </c>
    </row>
    <row r="26" spans="1:7" x14ac:dyDescent="0.35">
      <c r="A26" s="7">
        <v>45748</v>
      </c>
      <c r="B26" s="6">
        <f>B6+C5+D4+E3</f>
        <v>284</v>
      </c>
      <c r="C26" s="11">
        <f t="shared" si="6"/>
        <v>0.273542600896861</v>
      </c>
    </row>
    <row r="27" spans="1:7" x14ac:dyDescent="0.35">
      <c r="A27" s="7">
        <v>45778</v>
      </c>
      <c r="B27" s="6">
        <f>B7+C6+D5+E4+F3</f>
        <v>354</v>
      </c>
      <c r="C27" s="11">
        <f t="shared" si="6"/>
        <v>0.24647887323943662</v>
      </c>
    </row>
    <row r="28" spans="1:7" x14ac:dyDescent="0.35">
      <c r="A28" s="7">
        <v>45809</v>
      </c>
      <c r="B28" s="6">
        <f>B8+C7+D6+E5+F4+G3</f>
        <v>379</v>
      </c>
      <c r="C28" s="11">
        <f t="shared" si="6"/>
        <v>7.0621468926553674E-2</v>
      </c>
    </row>
  </sheetData>
  <conditionalFormatting sqref="B14:G19">
    <cfRule type="colorScale" priority="2">
      <colorScale>
        <cfvo type="min"/>
        <cfvo type="max"/>
        <color rgb="FFFFFFFF"/>
        <color rgb="FFFFD666"/>
      </colorScale>
    </cfRule>
  </conditionalFormatting>
  <conditionalFormatting sqref="C23:C28">
    <cfRule type="colorScale" priority="3">
      <colorScale>
        <cfvo type="min"/>
        <cfvo type="max"/>
        <color rgb="FFFFFFFF"/>
        <color rgb="FFE67C73"/>
      </colorScale>
    </cfRule>
  </conditionalFormatting>
  <conditionalFormatting sqref="B23:B28">
    <cfRule type="colorScale" priority="4">
      <colorScale>
        <cfvo type="min"/>
        <cfvo type="max"/>
        <color rgb="FFFFFFFF"/>
        <color rgb="FFE67C73"/>
      </colorScale>
    </cfRule>
  </conditionalFormatting>
  <pageMargins left="0.7" right="0.7" top="0.75" bottom="0.75" header="0.3" footer="0.3"/>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5"/>
  <sheetViews>
    <sheetView workbookViewId="0">
      <selection activeCell="B4" sqref="B4"/>
    </sheetView>
  </sheetViews>
  <sheetFormatPr defaultColWidth="12.59765625" defaultRowHeight="15.75" customHeight="1" x14ac:dyDescent="0.35"/>
  <cols>
    <col min="2" max="2" width="96.1328125" customWidth="1"/>
  </cols>
  <sheetData>
    <row r="1" spans="1:2" ht="27.4" customHeight="1" x14ac:dyDescent="0.35">
      <c r="A1" s="32">
        <v>1</v>
      </c>
      <c r="B1" s="33" t="s">
        <v>6</v>
      </c>
    </row>
    <row r="2" spans="1:2" ht="27.4" customHeight="1" x14ac:dyDescent="0.35">
      <c r="A2" s="34">
        <v>2</v>
      </c>
      <c r="B2" s="35" t="s">
        <v>7</v>
      </c>
    </row>
    <row r="3" spans="1:2" ht="27.4" customHeight="1" x14ac:dyDescent="0.35">
      <c r="A3" s="34">
        <v>3</v>
      </c>
      <c r="B3" s="35" t="s">
        <v>8</v>
      </c>
    </row>
    <row r="4" spans="1:2" ht="27.4" customHeight="1" x14ac:dyDescent="0.35">
      <c r="A4" s="34">
        <v>4</v>
      </c>
      <c r="B4" s="35" t="s">
        <v>9</v>
      </c>
    </row>
    <row r="5" spans="1:2" ht="27.4" customHeight="1" x14ac:dyDescent="0.35">
      <c r="A5" s="34">
        <v>5</v>
      </c>
      <c r="B5" s="35" t="s">
        <v>10</v>
      </c>
    </row>
    <row r="6" spans="1:2" ht="27.4" customHeight="1" x14ac:dyDescent="0.35">
      <c r="A6" s="34">
        <v>6</v>
      </c>
      <c r="B6" s="35" t="s">
        <v>11</v>
      </c>
    </row>
    <row r="7" spans="1:2" ht="27.4" customHeight="1" x14ac:dyDescent="0.35">
      <c r="A7" s="36">
        <v>7</v>
      </c>
      <c r="B7" s="37" t="s">
        <v>12</v>
      </c>
    </row>
    <row r="8" spans="1:2" ht="27.4" customHeight="1" x14ac:dyDescent="0.35">
      <c r="A8" s="12"/>
      <c r="B8" s="31"/>
    </row>
    <row r="9" spans="1:2" ht="27.4" customHeight="1" x14ac:dyDescent="0.35">
      <c r="A9" s="38">
        <v>1</v>
      </c>
      <c r="B9" s="39" t="s">
        <v>13</v>
      </c>
    </row>
    <row r="10" spans="1:2" ht="27.4" customHeight="1" x14ac:dyDescent="0.35">
      <c r="A10" s="38">
        <v>2</v>
      </c>
      <c r="B10" s="39" t="s">
        <v>14</v>
      </c>
    </row>
    <row r="11" spans="1:2" ht="27.4" customHeight="1" x14ac:dyDescent="0.35">
      <c r="A11" s="38">
        <v>3</v>
      </c>
      <c r="B11" s="39" t="s">
        <v>15</v>
      </c>
    </row>
    <row r="12" spans="1:2" ht="27.4" customHeight="1" x14ac:dyDescent="0.35">
      <c r="A12" s="38">
        <v>4</v>
      </c>
      <c r="B12" s="39" t="s">
        <v>16</v>
      </c>
    </row>
    <row r="13" spans="1:2" ht="27.4" customHeight="1" x14ac:dyDescent="0.35">
      <c r="A13" s="38">
        <v>5</v>
      </c>
      <c r="B13" s="39" t="s">
        <v>17</v>
      </c>
    </row>
    <row r="14" spans="1:2" ht="27.4" customHeight="1" x14ac:dyDescent="0.35">
      <c r="A14" s="38">
        <v>6</v>
      </c>
      <c r="B14" s="39" t="s">
        <v>18</v>
      </c>
    </row>
    <row r="15" spans="1:2" ht="27.4" customHeight="1" x14ac:dyDescent="0.35">
      <c r="A15" s="38">
        <v>7</v>
      </c>
      <c r="B15" s="39" t="s">
        <v>19</v>
      </c>
    </row>
  </sheetData>
  <pageMargins left="0.7" right="0.7" top="0.75" bottom="0.75" header="0.3" footer="0.3"/>
  <pageSetup orientation="portrait"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3</vt:i4>
      </vt:variant>
    </vt:vector>
  </HeadingPairs>
  <TitlesOfParts>
    <vt:vector size="3" baseType="lpstr">
      <vt:lpstr>Data</vt:lpstr>
      <vt:lpstr>Cohort_tables</vt:lpstr>
      <vt:lpstr>Conclusions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Cristi</cp:lastModifiedBy>
  <dcterms:modified xsi:type="dcterms:W3CDTF">2026-06-11T21:13:10Z</dcterms:modified>
</cp:coreProperties>
</file>