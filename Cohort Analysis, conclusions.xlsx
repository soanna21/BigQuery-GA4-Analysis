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ms-excel.slicerCache+xml" PartName="/xl/slicerCaches/slicerCache1.xml"/>
  <Override ContentType="application/vnd.ms-excel.slicer+xml" PartName="/xl/slicers/slicer1.xml"/>
  <Override ContentType="application/vnd.openxmlformats-officedocument.spreadsheetml.pivotTable+xml" PartName="/xl/pivotTables/pivotTable1.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 sheetId="1" r:id="rId5"/>
    <sheet state="visible" name="Cohort_tables" sheetId="2" r:id="rId6"/>
    <sheet state="visible" name="Conclusions" sheetId="3" r:id="rId7"/>
  </sheets>
  <definedNames>
    <definedName hidden="1" localSheetId="0" name="Z_6E16A70E_D239_4D4F_8AE7_C49E0E96F26B_.wvu.FilterData">Data!$A$1:$D$43</definedName>
    <definedName name="SlicerCache_Table_1_Col_1">#N/A</definedName>
  </definedNames>
  <calcPr/>
  <customWorkbookViews>
    <customWorkbookView activeSheetId="0" maximized="1" windowHeight="0" windowWidth="0" guid="{6E16A70E-D239-4D4F-8AE7-C49E0E96F26B}" name="Фільтр 1"/>
  </customWorkbookViews>
  <pivotCaches>
    <pivotCache cacheId="0" r:id="rId8"/>
  </pivotCaches>
  <extLst>
    <ext uri="{46BE6895-7355-4a93-B00E-2C351335B9C9}">
      <x15:slicerCaches>
        <x14:slicerCache r:id="rId9"/>
      </x15:slicerCaches>
    </ext>
  </extLst>
</workbook>
</file>

<file path=xl/sharedStrings.xml><?xml version="1.0" encoding="utf-8"?>
<sst xmlns="http://schemas.openxmlformats.org/spreadsheetml/2006/main" count="27" uniqueCount="22">
  <si>
    <t>promo_signup_flag</t>
  </si>
  <si>
    <t>cohort_month</t>
  </si>
  <si>
    <t>month_offset</t>
  </si>
  <si>
    <t>users_total</t>
  </si>
  <si>
    <t>Загальні користувачі</t>
  </si>
  <si>
    <t>Grand Total</t>
  </si>
  <si>
    <t>Retention Rate</t>
  </si>
  <si>
    <t>МАУ</t>
  </si>
  <si>
    <t>По когортах з січня по травень спостерігається найбільше зменшення кількості користувачів після першого місяця користування, що, скоріш за все говорить про можливі складності, недоліки на початку користування продуктом.</t>
  </si>
  <si>
    <t>В наступні місяці зменшення користувачів також є, але більш помірне.</t>
  </si>
  <si>
    <t>Якщо розглянути січневу когорту, бачимо,що на кінець періоду, для якого робиться аналіз, залишилось 40% користувачів, що не є поганим показником</t>
  </si>
  <si>
    <t>В березні спостерігається найкращий ретеншен.</t>
  </si>
  <si>
    <t xml:space="preserve">В цілому ретеншен стабільний. </t>
  </si>
  <si>
    <t>Щодо порівняння користувачів, залучених через промо та органічних, то бачимо, що ретеншен органічних користувачів значно вищий, тобто користувачі, залучені через промо не затримуються в продукті , ретеншен погіршується з кожним місяцем.</t>
  </si>
  <si>
    <t>Найбільший приріст загальних користувачів спостерігається в квітні.(якщо не брати до уваги приріст лютого, т.я. по січню дані не загальних користувачів, а лише нових в січні)</t>
  </si>
  <si>
    <t>Looking at the cohorts from January to May, we see the biggest drop in the number of users after the first month of use, which likely points to some initial difficulties or shortcomings with using the product.</t>
  </si>
  <si>
    <t xml:space="preserve">In the following months, there is still a decrease in users, but it's more moderate. </t>
  </si>
  <si>
    <t xml:space="preserve">If we look at the January cohort, we see that by the end of the period being analyzed, 40% of users remained, which isn’t a bad figure. </t>
  </si>
  <si>
    <t xml:space="preserve"> March shows the best retention.</t>
  </si>
  <si>
    <t>Overall, retention is stable.</t>
  </si>
  <si>
    <t>When comparing users acquired through promotions and organically, we see that organic users have significantly higher retention, meaning users brought in via promos don’t stick around in the product, and retention declines every month.</t>
  </si>
  <si>
    <t>The largest overall user growth is seen in April (excluding February’s growth since the January data only accounts for new users in January, not total users).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</si>
</sst>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quot;-&quot;mm&quot;-&quot;dd"/>
  </numFmts>
  <fonts count="3">
    <font>
      <sz val="10.0"/>
      <color rgb="FF000000"/>
      <name val="Arial"/>
      <scheme val="minor"/>
    </font>
    <font>
      <color theme="1"/>
      <name val="Arial"/>
      <scheme val="minor"/>
    </font>
    <font>
      <sz val="11.0"/>
      <color rgb="FF000000"/>
      <name val="Calibri"/>
    </font>
  </fonts>
  <fills count="7">
    <fill>
      <patternFill patternType="none"/>
    </fill>
    <fill>
      <patternFill patternType="lightGray"/>
    </fill>
    <fill>
      <patternFill patternType="solid">
        <fgColor rgb="FF6D9EEB"/>
        <bgColor rgb="FF6D9EEB"/>
      </patternFill>
    </fill>
    <fill>
      <patternFill patternType="solid">
        <fgColor rgb="FFA4C2F4"/>
        <bgColor rgb="FFA4C2F4"/>
      </patternFill>
    </fill>
    <fill>
      <patternFill patternType="solid">
        <fgColor rgb="FFCFE2F3"/>
        <bgColor rgb="FFCFE2F3"/>
      </patternFill>
    </fill>
    <fill>
      <patternFill patternType="solid">
        <fgColor rgb="FFFFFFFF"/>
        <bgColor rgb="FFFFFFFF"/>
      </patternFill>
    </fill>
    <fill>
      <patternFill patternType="solid">
        <fgColor rgb="FFE9F8DE"/>
        <bgColor rgb="FFE9F8DE"/>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readingOrder="0"/>
    </xf>
    <xf borderId="0" fillId="0" fontId="1" numFmtId="3" xfId="0" applyAlignment="1" applyFont="1" applyNumberFormat="1">
      <alignment readingOrder="0"/>
    </xf>
    <xf borderId="0" fillId="0" fontId="1" numFmtId="164" xfId="0" applyAlignment="1" applyFont="1" applyNumberFormat="1">
      <alignment readingOrder="0"/>
    </xf>
    <xf borderId="0" fillId="0" fontId="2" numFmtId="3" xfId="0" applyAlignment="1" applyFont="1" applyNumberFormat="1">
      <alignment horizontal="right" readingOrder="0" shrinkToFit="0" vertical="bottom" wrapText="0"/>
    </xf>
    <xf borderId="0" fillId="0" fontId="1" numFmtId="0" xfId="0" applyFont="1"/>
    <xf borderId="0" fillId="2" fontId="1" numFmtId="0" xfId="0" applyFill="1" applyFont="1"/>
    <xf borderId="0" fillId="0" fontId="1" numFmtId="3" xfId="0" applyFont="1" applyNumberFormat="1"/>
    <xf borderId="0" fillId="0" fontId="1" numFmtId="164" xfId="0" applyFont="1" applyNumberFormat="1"/>
    <xf borderId="0" fillId="3" fontId="1" numFmtId="3" xfId="0" applyFill="1" applyFont="1" applyNumberFormat="1"/>
    <xf borderId="0" fillId="4" fontId="1" numFmtId="164" xfId="0" applyFill="1" applyFont="1" applyNumberFormat="1"/>
    <xf borderId="0" fillId="5" fontId="1" numFmtId="9" xfId="0" applyFill="1" applyFont="1" applyNumberFormat="1"/>
    <xf borderId="0" fillId="2" fontId="1" numFmtId="0" xfId="0" applyAlignment="1" applyFont="1">
      <alignment readingOrder="0"/>
    </xf>
    <xf borderId="0" fillId="0" fontId="1" numFmtId="10" xfId="0" applyFont="1" applyNumberFormat="1"/>
    <xf borderId="0" fillId="6" fontId="1" numFmtId="0" xfId="0" applyAlignment="1" applyFill="1" applyFont="1">
      <alignment horizontal="center" readingOrder="0" vertical="center"/>
    </xf>
    <xf borderId="0" fillId="6" fontId="1" numFmtId="0" xfId="0" applyAlignment="1" applyFont="1">
      <alignment readingOrder="0" shrinkToFit="0" wrapText="1"/>
    </xf>
    <xf borderId="0" fillId="0" fontId="1" numFmtId="0" xfId="0" applyAlignment="1" applyFont="1">
      <alignment horizontal="center" readingOrder="0" vertical="center"/>
    </xf>
    <xf borderId="0" fillId="0" fontId="1" numFmtId="0" xfId="0" applyAlignment="1" applyFont="1">
      <alignment readingOrder="0" shrinkToFit="0" wrapText="1"/>
    </xf>
  </cellXfs>
  <cellStyles count="1">
    <cellStyle xfId="0" name="Normal" builtinId="0"/>
  </cellStyles>
  <dxfs count="4">
    <dxf>
      <font/>
      <fill>
        <patternFill patternType="none"/>
      </fill>
      <border/>
    </dxf>
    <dxf>
      <font/>
      <fill>
        <patternFill patternType="solid">
          <fgColor rgb="FF63D297"/>
          <bgColor rgb="FF63D297"/>
        </patternFill>
      </fill>
      <border/>
    </dxf>
    <dxf>
      <font/>
      <fill>
        <patternFill patternType="solid">
          <fgColor rgb="FFFFFFFF"/>
          <bgColor rgb="FFFFFFFF"/>
        </patternFill>
      </fill>
      <border/>
    </dxf>
    <dxf>
      <font/>
      <fill>
        <patternFill patternType="solid">
          <fgColor rgb="FFE7F9EF"/>
          <bgColor rgb="FFE7F9EF"/>
        </patternFill>
      </fill>
      <border/>
    </dxf>
  </dxfs>
  <tableStyles count="2">
    <tableStyle count="3" pivot="0" name="Conclusions-style">
      <tableStyleElement dxfId="1" type="headerRow"/>
      <tableStyleElement dxfId="2" type="firstRowStripe"/>
      <tableStyleElement dxfId="3" type="secondRowStripe"/>
    </tableStyle>
    <tableStyle count="3" pivot="0" name="Conclusions-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microsoft.com/office/2007/relationships/slicerCache" Target="slicerCaches/slicerCach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pivotCacheDefinition" Target="pivotCache/pivotCacheDefinition1.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95250</xdr:colOff>
      <xdr:row>0</xdr:row>
      <xdr:rowOff>0</xdr:rowOff>
    </xdr:from>
    <xdr:ext cx="2857500" cy="2857500"/>
    <mc:AlternateContent>
      <mc:Choice Requires="sle15">
        <xdr:graphicFrame>
          <xdr:nvGraphicFramePr>
            <xdr:cNvPr id="1" name="promo_signup_flag_1"/>
            <xdr:cNvGraphicFramePr/>
          </xdr:nvGraphicFramePr>
          <xdr:xfrm>
            <a:off x="0" y="0"/>
            <a:ext cx="0" cy="0"/>
          </xdr:xfrm>
          <a:graphic>
            <a:graphicData uri="http://schemas.microsoft.com/office/drawing/2010/slicer">
              <x3Unk:slicer name="promo_signup_flag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8</xdr:col>
      <xdr:colOff>571500</xdr:colOff>
      <xdr:row>2</xdr:row>
      <xdr:rowOff>19050</xdr:rowOff>
    </xdr:from>
    <xdr:ext cx="6943725" cy="1847850"/>
    <xdr:pic>
      <xdr:nvPicPr>
        <xdr:cNvPr id="0" name="image2.png" title="Зображення"/>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571500</xdr:colOff>
      <xdr:row>12</xdr:row>
      <xdr:rowOff>161925</xdr:rowOff>
    </xdr:from>
    <xdr:ext cx="7000875" cy="1704975"/>
    <xdr:pic>
      <xdr:nvPicPr>
        <xdr:cNvPr id="0" name="image1.png" title="Зображення"/>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43" sheet="Data"/>
  </cacheSource>
  <cacheFields>
    <cacheField name="promo_signup_flag" numFmtId="3">
      <sharedItems containsSemiMixedTypes="0" containsString="0" containsNumber="1" containsInteger="1">
        <n v="0.0"/>
        <n v="1.0"/>
      </sharedItems>
    </cacheField>
    <cacheField name="cohort_month" numFmtId="164">
      <sharedItems containsSemiMixedTypes="0" containsDate="1" containsString="0">
        <d v="2025-01-01T00:00:00Z"/>
        <d v="2025-02-01T00:00:00Z"/>
        <d v="2025-03-01T00:00:00Z"/>
        <d v="2025-04-01T00:00:00Z"/>
        <d v="2025-05-01T00:00:00Z"/>
        <d v="2025-06-01T00:00:00Z"/>
      </sharedItems>
    </cacheField>
    <cacheField name="month_offset" numFmtId="3">
      <sharedItems containsSemiMixedTypes="0" containsString="0" containsNumber="1" containsInteger="1">
        <n v="0.0"/>
        <n v="1.0"/>
        <n v="2.0"/>
        <n v="3.0"/>
        <n v="4.0"/>
        <n v="5.0"/>
      </sharedItems>
    </cacheField>
    <cacheField name="users_total" numFmtId="3">
      <sharedItems containsSemiMixedTypes="0" containsString="0" containsNumber="1" containsInteger="1">
        <n v="70.0"/>
        <n v="58.0"/>
        <n v="54.0"/>
        <n v="52.0"/>
        <n v="43.0"/>
        <n v="39.0"/>
        <n v="63.0"/>
        <n v="46.0"/>
        <n v="48.0"/>
        <n v="49.0"/>
        <n v="51.0"/>
        <n v="41.0"/>
        <n v="47.0"/>
        <n v="61.0"/>
        <n v="50.0"/>
        <n v="55.0"/>
        <n v="34.0"/>
        <n v="21.0"/>
        <n v="17.0"/>
        <n v="3.0"/>
        <n v="6.0"/>
        <n v="24.0"/>
        <n v="13.0"/>
        <n v="8.0"/>
        <n v="31.0"/>
        <n v="18.0"/>
        <n v="14.0"/>
        <n v="11.0"/>
        <n v="44.0"/>
        <n v="45.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Cohort_tables" cacheId="0" dataCaption="" compact="0" compactData="0">
  <location ref="A1:H9" firstHeaderRow="0" firstDataRow="1" firstDataCol="1"/>
  <pivotFields>
    <pivotField name="promo_signup_flag" compact="0" numFmtId="3" outline="0" multipleItemSelectionAllowed="1" showAll="0">
      <items>
        <item x="0"/>
        <item x="1"/>
        <item t="default"/>
      </items>
    </pivotField>
    <pivotField name="cohort_month" axis="axisRow" compact="0" numFmtId="164" outline="0" multipleItemSelectionAllowed="1" showAll="0" sortType="ascending">
      <items>
        <item x="0"/>
        <item x="1"/>
        <item x="2"/>
        <item x="3"/>
        <item x="4"/>
        <item x="5"/>
        <item t="default"/>
      </items>
    </pivotField>
    <pivotField name="month_offset" axis="axisCol" compact="0" numFmtId="3" outline="0" multipleItemSelectionAllowed="1" showAll="0" sortType="ascending">
      <items>
        <item x="0"/>
        <item x="1"/>
        <item x="2"/>
        <item x="3"/>
        <item x="4"/>
        <item x="5"/>
        <item t="default"/>
      </items>
    </pivotField>
    <pivotField name="users_total" dataField="1" compact="0" numFmtId="3"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s>
  <rowFields>
    <field x="1"/>
  </rowFields>
  <colFields>
    <field x="2"/>
  </colFields>
  <dataFields>
    <dataField name="Загальні користувачі" fld="3"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1" sourceName="promo_signup_flag">
  <x14:extLst>
    <ext uri="{2F2917AC-EB37-4324-AD4E-5DD8C200BD13}">
      <x15:tableSlicerCache tableId="1" column="1"/>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promo_signup_flag_1" cache="SlicerCache_Table_1_Col_1" caption="promo_signup_flag" rowHeight="247650"/>
</x14:slicers>
</file>

<file path=xl/tables/table1.xml><?xml version="1.0" encoding="utf-8"?>
<table xmlns="http://schemas.openxmlformats.org/spreadsheetml/2006/main" ref="A1:D43" displayName="Table_1" name="Table_1" id="1">
  <autoFilter ref="$A$1:$D$43"/>
  <tableColumns count="4">
    <tableColumn name="promo_signup_flag" id="1"/>
    <tableColumn name="cohort_month" id="2"/>
    <tableColumn name="month_offset" id="3"/>
    <tableColumn name="users_total" id="4"/>
  </tableColumns>
  <tableStyleInfo showColumnStripes="0" showFirstColumn="0" showLastColumn="0" showRowStripes="0"/>
</table>
</file>

<file path=xl/tables/table2.xml><?xml version="1.0" encoding="utf-8"?>
<table xmlns="http://schemas.openxmlformats.org/spreadsheetml/2006/main" headerRowCount="0" ref="A1:B7" displayName="Table_2" name="Table_2" id="2">
  <tableColumns count="2">
    <tableColumn name="Column1" id="1"/>
    <tableColumn name="Column2" id="2"/>
  </tableColumns>
  <tableStyleInfo name="Conclusions-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A9:A15" displayName="Table_3" name="Table_3" id="3">
  <tableColumns count="1">
    <tableColumn name="Column1" id="1"/>
  </tableColumns>
  <tableStyleInfo name="Conclusions-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2.xml"/><Relationship Id="rId3"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4" Type="http://schemas.openxmlformats.org/officeDocument/2006/relationships/table" Target="../tables/table2.xml"/><Relationship Id="rId5"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row>
    <row r="2">
      <c r="A2" s="2">
        <v>0.0</v>
      </c>
      <c r="B2" s="3">
        <v>45658.0</v>
      </c>
      <c r="C2" s="4">
        <v>0.0</v>
      </c>
      <c r="D2" s="2">
        <v>70.0</v>
      </c>
    </row>
    <row r="3">
      <c r="A3" s="2">
        <v>0.0</v>
      </c>
      <c r="B3" s="3">
        <v>45658.0</v>
      </c>
      <c r="C3" s="4">
        <v>1.0</v>
      </c>
      <c r="D3" s="2">
        <v>58.0</v>
      </c>
    </row>
    <row r="4">
      <c r="A4" s="2">
        <v>0.0</v>
      </c>
      <c r="B4" s="3">
        <v>45658.0</v>
      </c>
      <c r="C4" s="4">
        <v>2.0</v>
      </c>
      <c r="D4" s="2">
        <v>54.0</v>
      </c>
    </row>
    <row r="5">
      <c r="A5" s="2">
        <v>0.0</v>
      </c>
      <c r="B5" s="3">
        <v>45658.0</v>
      </c>
      <c r="C5" s="4">
        <v>3.0</v>
      </c>
      <c r="D5" s="2">
        <v>52.0</v>
      </c>
    </row>
    <row r="6">
      <c r="A6" s="2">
        <v>0.0</v>
      </c>
      <c r="B6" s="3">
        <v>45658.0</v>
      </c>
      <c r="C6" s="4">
        <v>4.0</v>
      </c>
      <c r="D6" s="2">
        <v>43.0</v>
      </c>
    </row>
    <row r="7">
      <c r="A7" s="2">
        <v>0.0</v>
      </c>
      <c r="B7" s="3">
        <v>45658.0</v>
      </c>
      <c r="C7" s="4">
        <v>5.0</v>
      </c>
      <c r="D7" s="2">
        <v>39.0</v>
      </c>
    </row>
    <row r="8">
      <c r="A8" s="2">
        <v>0.0</v>
      </c>
      <c r="B8" s="3">
        <v>45689.0</v>
      </c>
      <c r="C8" s="4">
        <v>0.0</v>
      </c>
      <c r="D8" s="2">
        <v>63.0</v>
      </c>
    </row>
    <row r="9">
      <c r="A9" s="2">
        <v>0.0</v>
      </c>
      <c r="B9" s="3">
        <v>45689.0</v>
      </c>
      <c r="C9" s="4">
        <v>1.0</v>
      </c>
      <c r="D9" s="2">
        <v>46.0</v>
      </c>
    </row>
    <row r="10">
      <c r="A10" s="2">
        <v>0.0</v>
      </c>
      <c r="B10" s="3">
        <v>45689.0</v>
      </c>
      <c r="C10" s="4">
        <v>2.0</v>
      </c>
      <c r="D10" s="2">
        <v>48.0</v>
      </c>
    </row>
    <row r="11">
      <c r="A11" s="2">
        <v>0.0</v>
      </c>
      <c r="B11" s="3">
        <v>45689.0</v>
      </c>
      <c r="C11" s="4">
        <v>3.0</v>
      </c>
      <c r="D11" s="2">
        <v>49.0</v>
      </c>
    </row>
    <row r="12">
      <c r="A12" s="2">
        <v>0.0</v>
      </c>
      <c r="B12" s="3">
        <v>45689.0</v>
      </c>
      <c r="C12" s="4">
        <v>4.0</v>
      </c>
      <c r="D12" s="2">
        <v>43.0</v>
      </c>
    </row>
    <row r="13">
      <c r="A13" s="2">
        <v>0.0</v>
      </c>
      <c r="B13" s="3">
        <v>45717.0</v>
      </c>
      <c r="C13" s="4">
        <v>0.0</v>
      </c>
      <c r="D13" s="2">
        <v>51.0</v>
      </c>
    </row>
    <row r="14">
      <c r="A14" s="2">
        <v>0.0</v>
      </c>
      <c r="B14" s="3">
        <v>45717.0</v>
      </c>
      <c r="C14" s="4">
        <v>1.0</v>
      </c>
      <c r="D14" s="2">
        <v>41.0</v>
      </c>
    </row>
    <row r="15">
      <c r="A15" s="2">
        <v>0.0</v>
      </c>
      <c r="B15" s="3">
        <v>45717.0</v>
      </c>
      <c r="C15" s="4">
        <v>2.0</v>
      </c>
      <c r="D15" s="2">
        <v>47.0</v>
      </c>
    </row>
    <row r="16">
      <c r="A16" s="2">
        <v>0.0</v>
      </c>
      <c r="B16" s="3">
        <v>45717.0</v>
      </c>
      <c r="C16" s="4">
        <v>3.0</v>
      </c>
      <c r="D16" s="2">
        <v>41.0</v>
      </c>
    </row>
    <row r="17">
      <c r="A17" s="2">
        <v>0.0</v>
      </c>
      <c r="B17" s="3">
        <v>45748.0</v>
      </c>
      <c r="C17" s="4">
        <v>0.0</v>
      </c>
      <c r="D17" s="2">
        <v>61.0</v>
      </c>
    </row>
    <row r="18">
      <c r="A18" s="2">
        <v>0.0</v>
      </c>
      <c r="B18" s="3">
        <v>45748.0</v>
      </c>
      <c r="C18" s="4">
        <v>1.0</v>
      </c>
      <c r="D18" s="2">
        <v>50.0</v>
      </c>
    </row>
    <row r="19">
      <c r="A19" s="2">
        <v>0.0</v>
      </c>
      <c r="B19" s="3">
        <v>45748.0</v>
      </c>
      <c r="C19" s="4">
        <v>2.0</v>
      </c>
      <c r="D19" s="2">
        <v>47.0</v>
      </c>
    </row>
    <row r="20">
      <c r="A20" s="2">
        <v>0.0</v>
      </c>
      <c r="B20" s="3">
        <v>45778.0</v>
      </c>
      <c r="C20" s="4">
        <v>0.0</v>
      </c>
      <c r="D20" s="2">
        <v>63.0</v>
      </c>
    </row>
    <row r="21">
      <c r="A21" s="2">
        <v>0.0</v>
      </c>
      <c r="B21" s="3">
        <v>45778.0</v>
      </c>
      <c r="C21" s="4">
        <v>1.0</v>
      </c>
      <c r="D21" s="2">
        <v>55.0</v>
      </c>
    </row>
    <row r="22">
      <c r="A22" s="2">
        <v>0.0</v>
      </c>
      <c r="B22" s="3">
        <v>45809.0</v>
      </c>
      <c r="C22" s="4">
        <v>0.0</v>
      </c>
      <c r="D22" s="2">
        <v>50.0</v>
      </c>
    </row>
    <row r="23">
      <c r="A23" s="2">
        <v>1.0</v>
      </c>
      <c r="B23" s="3">
        <v>45658.0</v>
      </c>
      <c r="C23" s="4">
        <v>0.0</v>
      </c>
      <c r="D23" s="2">
        <v>34.0</v>
      </c>
    </row>
    <row r="24">
      <c r="A24" s="2">
        <v>1.0</v>
      </c>
      <c r="B24" s="3">
        <v>45658.0</v>
      </c>
      <c r="C24" s="4">
        <v>1.0</v>
      </c>
      <c r="D24" s="2">
        <v>21.0</v>
      </c>
    </row>
    <row r="25">
      <c r="A25" s="2">
        <v>1.0</v>
      </c>
      <c r="B25" s="3">
        <v>45658.0</v>
      </c>
      <c r="C25" s="4">
        <v>2.0</v>
      </c>
      <c r="D25" s="2">
        <v>17.0</v>
      </c>
    </row>
    <row r="26">
      <c r="A26" s="2">
        <v>1.0</v>
      </c>
      <c r="B26" s="3">
        <v>45658.0</v>
      </c>
      <c r="C26" s="4">
        <v>3.0</v>
      </c>
      <c r="D26" s="2">
        <v>3.0</v>
      </c>
    </row>
    <row r="27">
      <c r="A27" s="2">
        <v>1.0</v>
      </c>
      <c r="B27" s="3">
        <v>45658.0</v>
      </c>
      <c r="C27" s="4">
        <v>4.0</v>
      </c>
      <c r="D27" s="2">
        <v>6.0</v>
      </c>
    </row>
    <row r="28">
      <c r="A28" s="2">
        <v>1.0</v>
      </c>
      <c r="B28" s="3">
        <v>45658.0</v>
      </c>
      <c r="C28" s="4">
        <v>5.0</v>
      </c>
      <c r="D28" s="2">
        <v>3.0</v>
      </c>
    </row>
    <row r="29">
      <c r="A29" s="2">
        <v>1.0</v>
      </c>
      <c r="B29" s="3">
        <v>45689.0</v>
      </c>
      <c r="C29" s="4">
        <v>0.0</v>
      </c>
      <c r="D29" s="2">
        <v>41.0</v>
      </c>
    </row>
    <row r="30">
      <c r="A30" s="2">
        <v>1.0</v>
      </c>
      <c r="B30" s="3">
        <v>45689.0</v>
      </c>
      <c r="C30" s="4">
        <v>1.0</v>
      </c>
      <c r="D30" s="2">
        <v>24.0</v>
      </c>
    </row>
    <row r="31">
      <c r="A31" s="2">
        <v>1.0</v>
      </c>
      <c r="B31" s="3">
        <v>45689.0</v>
      </c>
      <c r="C31" s="4">
        <v>2.0</v>
      </c>
      <c r="D31" s="2">
        <v>17.0</v>
      </c>
    </row>
    <row r="32">
      <c r="A32" s="2">
        <v>1.0</v>
      </c>
      <c r="B32" s="3">
        <v>45689.0</v>
      </c>
      <c r="C32" s="4">
        <v>3.0</v>
      </c>
      <c r="D32" s="2">
        <v>13.0</v>
      </c>
    </row>
    <row r="33">
      <c r="A33" s="2">
        <v>1.0</v>
      </c>
      <c r="B33" s="3">
        <v>45689.0</v>
      </c>
      <c r="C33" s="4">
        <v>4.0</v>
      </c>
      <c r="D33" s="2">
        <v>8.0</v>
      </c>
    </row>
    <row r="34">
      <c r="A34" s="2">
        <v>1.0</v>
      </c>
      <c r="B34" s="3">
        <v>45717.0</v>
      </c>
      <c r="C34" s="4">
        <v>0.0</v>
      </c>
      <c r="D34" s="2">
        <v>31.0</v>
      </c>
    </row>
    <row r="35">
      <c r="A35" s="2">
        <v>1.0</v>
      </c>
      <c r="B35" s="3">
        <v>45717.0</v>
      </c>
      <c r="C35" s="4">
        <v>1.0</v>
      </c>
      <c r="D35" s="2">
        <v>18.0</v>
      </c>
    </row>
    <row r="36">
      <c r="A36" s="2">
        <v>1.0</v>
      </c>
      <c r="B36" s="3">
        <v>45717.0</v>
      </c>
      <c r="C36" s="4">
        <v>2.0</v>
      </c>
      <c r="D36" s="2">
        <v>14.0</v>
      </c>
    </row>
    <row r="37">
      <c r="A37" s="2">
        <v>1.0</v>
      </c>
      <c r="B37" s="3">
        <v>45717.0</v>
      </c>
      <c r="C37" s="4">
        <v>3.0</v>
      </c>
      <c r="D37" s="2">
        <v>11.0</v>
      </c>
    </row>
    <row r="38">
      <c r="A38" s="2">
        <v>1.0</v>
      </c>
      <c r="B38" s="3">
        <v>45748.0</v>
      </c>
      <c r="C38" s="4">
        <v>0.0</v>
      </c>
      <c r="D38" s="2">
        <v>44.0</v>
      </c>
    </row>
    <row r="39">
      <c r="A39" s="2">
        <v>1.0</v>
      </c>
      <c r="B39" s="3">
        <v>45748.0</v>
      </c>
      <c r="C39" s="4">
        <v>1.0</v>
      </c>
      <c r="D39" s="2">
        <v>24.0</v>
      </c>
    </row>
    <row r="40">
      <c r="A40" s="2">
        <v>1.0</v>
      </c>
      <c r="B40" s="3">
        <v>45748.0</v>
      </c>
      <c r="C40" s="4">
        <v>2.0</v>
      </c>
      <c r="D40" s="2">
        <v>14.0</v>
      </c>
    </row>
    <row r="41">
      <c r="A41" s="2">
        <v>1.0</v>
      </c>
      <c r="B41" s="3">
        <v>45778.0</v>
      </c>
      <c r="C41" s="4">
        <v>0.0</v>
      </c>
      <c r="D41" s="2">
        <v>45.0</v>
      </c>
    </row>
    <row r="42">
      <c r="A42" s="2">
        <v>1.0</v>
      </c>
      <c r="B42" s="3">
        <v>45778.0</v>
      </c>
      <c r="C42" s="4">
        <v>1.0</v>
      </c>
      <c r="D42" s="2">
        <v>21.0</v>
      </c>
    </row>
    <row r="43">
      <c r="A43" s="2">
        <v>1.0</v>
      </c>
      <c r="B43" s="3">
        <v>45809.0</v>
      </c>
      <c r="C43" s="4">
        <v>0.0</v>
      </c>
      <c r="D43" s="2">
        <v>47.0</v>
      </c>
    </row>
  </sheetData>
  <customSheetViews>
    <customSheetView guid="{6E16A70E-D239-4D4F-8AE7-C49E0E96F26B}" filter="1" showAutoFilter="1">
      <autoFilter ref="$A$1:$D$43"/>
    </customSheetView>
  </customSheetView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8.38"/>
  </cols>
  <sheetData>
    <row r="1"/>
    <row r="2"/>
    <row r="3"/>
    <row r="4"/>
    <row r="5"/>
    <row r="6"/>
    <row r="7"/>
    <row r="8"/>
    <row r="9"/>
    <row r="12">
      <c r="A12" s="1" t="s">
        <v>6</v>
      </c>
      <c r="B12" s="6" t="s">
        <v>2</v>
      </c>
    </row>
    <row r="13">
      <c r="A13" s="6" t="s">
        <v>1</v>
      </c>
      <c r="B13" s="9">
        <v>0.0</v>
      </c>
      <c r="C13" s="9">
        <v>1.0</v>
      </c>
      <c r="D13" s="9">
        <v>2.0</v>
      </c>
      <c r="E13" s="9">
        <v>3.0</v>
      </c>
      <c r="F13" s="9">
        <v>4.0</v>
      </c>
      <c r="G13" s="9">
        <v>5.0</v>
      </c>
    </row>
    <row r="14">
      <c r="A14" s="10">
        <v>45658.0</v>
      </c>
      <c r="B14" s="11">
        <f t="shared" ref="B14:G14" si="1">if(B3&gt;0,B3/$B3,"")</f>
        <v>1</v>
      </c>
      <c r="C14" s="11">
        <f t="shared" si="1"/>
        <v>0.7596153846</v>
      </c>
      <c r="D14" s="11">
        <f t="shared" si="1"/>
        <v>0.6826923077</v>
      </c>
      <c r="E14" s="11">
        <f t="shared" si="1"/>
        <v>0.5288461538</v>
      </c>
      <c r="F14" s="11">
        <f t="shared" si="1"/>
        <v>0.4711538462</v>
      </c>
      <c r="G14" s="11">
        <f t="shared" si="1"/>
        <v>0.4038461538</v>
      </c>
    </row>
    <row r="15">
      <c r="A15" s="10">
        <v>45689.0</v>
      </c>
      <c r="B15" s="11">
        <f t="shared" ref="B15:G15" si="2">if(B4&gt;0,B4/$B4,"")</f>
        <v>1</v>
      </c>
      <c r="C15" s="11">
        <f t="shared" si="2"/>
        <v>0.6730769231</v>
      </c>
      <c r="D15" s="11">
        <f t="shared" si="2"/>
        <v>0.625</v>
      </c>
      <c r="E15" s="11">
        <f t="shared" si="2"/>
        <v>0.5961538462</v>
      </c>
      <c r="F15" s="11">
        <f t="shared" si="2"/>
        <v>0.4903846154</v>
      </c>
      <c r="G15" s="11" t="str">
        <f t="shared" si="2"/>
        <v/>
      </c>
    </row>
    <row r="16">
      <c r="A16" s="10">
        <v>45717.0</v>
      </c>
      <c r="B16" s="11">
        <f t="shared" ref="B16:G16" si="3">if(B5&gt;0,B5/$B5,"")</f>
        <v>1</v>
      </c>
      <c r="C16" s="11">
        <f t="shared" si="3"/>
        <v>0.7195121951</v>
      </c>
      <c r="D16" s="11">
        <f t="shared" si="3"/>
        <v>0.743902439</v>
      </c>
      <c r="E16" s="11">
        <f t="shared" si="3"/>
        <v>0.6341463415</v>
      </c>
      <c r="F16" s="11" t="str">
        <f t="shared" si="3"/>
        <v/>
      </c>
      <c r="G16" s="11" t="str">
        <f t="shared" si="3"/>
        <v/>
      </c>
    </row>
    <row r="17">
      <c r="A17" s="10">
        <v>45748.0</v>
      </c>
      <c r="B17" s="11">
        <f t="shared" ref="B17:G17" si="4">if(B6&gt;0,B6/$B6,"")</f>
        <v>1</v>
      </c>
      <c r="C17" s="11">
        <f t="shared" si="4"/>
        <v>0.7047619048</v>
      </c>
      <c r="D17" s="11">
        <f t="shared" si="4"/>
        <v>0.580952381</v>
      </c>
      <c r="E17" s="11" t="str">
        <f t="shared" si="4"/>
        <v/>
      </c>
      <c r="F17" s="11" t="str">
        <f t="shared" si="4"/>
        <v/>
      </c>
      <c r="G17" s="11" t="str">
        <f t="shared" si="4"/>
        <v/>
      </c>
    </row>
    <row r="18">
      <c r="A18" s="10">
        <v>45778.0</v>
      </c>
      <c r="B18" s="11">
        <f t="shared" ref="B18:G18" si="5">if(B7&gt;0,B7/$B7,"")</f>
        <v>1</v>
      </c>
      <c r="C18" s="11">
        <f t="shared" si="5"/>
        <v>0.7037037037</v>
      </c>
      <c r="D18" s="11" t="str">
        <f t="shared" si="5"/>
        <v/>
      </c>
      <c r="E18" s="11" t="str">
        <f t="shared" si="5"/>
        <v/>
      </c>
      <c r="F18" s="11" t="str">
        <f t="shared" si="5"/>
        <v/>
      </c>
      <c r="G18" s="11" t="str">
        <f t="shared" si="5"/>
        <v/>
      </c>
    </row>
    <row r="19">
      <c r="A19" s="10">
        <v>45809.0</v>
      </c>
      <c r="B19" s="11">
        <f t="shared" ref="B19:G19" si="6">if(B8&gt;0,B8/$B8,"")</f>
        <v>1</v>
      </c>
      <c r="C19" s="11" t="str">
        <f t="shared" si="6"/>
        <v/>
      </c>
      <c r="D19" s="11" t="str">
        <f t="shared" si="6"/>
        <v/>
      </c>
      <c r="E19" s="11" t="str">
        <f t="shared" si="6"/>
        <v/>
      </c>
      <c r="F19" s="11" t="str">
        <f t="shared" si="6"/>
        <v/>
      </c>
      <c r="G19" s="11" t="str">
        <f t="shared" si="6"/>
        <v/>
      </c>
    </row>
    <row r="22">
      <c r="A22" s="12" t="s">
        <v>7</v>
      </c>
    </row>
    <row r="23">
      <c r="A23" s="8">
        <v>45658.0</v>
      </c>
      <c r="B23" s="7">
        <f>B3</f>
        <v>104</v>
      </c>
    </row>
    <row r="24">
      <c r="A24" s="8">
        <v>45689.0</v>
      </c>
      <c r="B24" s="7">
        <f>B4+C3</f>
        <v>183</v>
      </c>
      <c r="C24" s="13">
        <f t="shared" ref="C24:C28" si="7">(B24-B23)/B23</f>
        <v>0.7596153846</v>
      </c>
    </row>
    <row r="25">
      <c r="A25" s="8">
        <v>45717.0</v>
      </c>
      <c r="B25" s="7">
        <f>B5+C4+D3</f>
        <v>223</v>
      </c>
      <c r="C25" s="13">
        <f t="shared" si="7"/>
        <v>0.218579235</v>
      </c>
    </row>
    <row r="26">
      <c r="A26" s="8">
        <v>45748.0</v>
      </c>
      <c r="B26" s="7">
        <f>B6+C5+D4+E3</f>
        <v>284</v>
      </c>
      <c r="C26" s="13">
        <f t="shared" si="7"/>
        <v>0.2735426009</v>
      </c>
    </row>
    <row r="27">
      <c r="A27" s="8">
        <v>45778.0</v>
      </c>
      <c r="B27" s="7">
        <f>B7+C6+D5+E4+F3</f>
        <v>354</v>
      </c>
      <c r="C27" s="13">
        <f t="shared" si="7"/>
        <v>0.2464788732</v>
      </c>
    </row>
    <row r="28">
      <c r="A28" s="8">
        <v>45809.0</v>
      </c>
      <c r="B28" s="7">
        <f>B8+C7+D6+E5+F4+G3</f>
        <v>379</v>
      </c>
      <c r="C28" s="13">
        <f t="shared" si="7"/>
        <v>0.07062146893</v>
      </c>
    </row>
  </sheetData>
  <conditionalFormatting sqref="B3:G8">
    <cfRule type="colorScale" priority="1">
      <colorScale>
        <cfvo type="min"/>
        <cfvo type="max"/>
        <color rgb="FFFFFFFF"/>
        <color rgb="FF57BB8A"/>
      </colorScale>
    </cfRule>
  </conditionalFormatting>
  <conditionalFormatting sqref="B14:G19">
    <cfRule type="colorScale" priority="2">
      <colorScale>
        <cfvo type="min"/>
        <cfvo type="max"/>
        <color rgb="FFFFFFFF"/>
        <color rgb="FFFFD666"/>
      </colorScale>
    </cfRule>
  </conditionalFormatting>
  <conditionalFormatting sqref="C23:C28">
    <cfRule type="colorScale" priority="3">
      <colorScale>
        <cfvo type="min"/>
        <cfvo type="max"/>
        <color rgb="FFFFFFFF"/>
        <color rgb="FFE67C73"/>
      </colorScale>
    </cfRule>
  </conditionalFormatting>
  <conditionalFormatting sqref="B23:B28">
    <cfRule type="colorScale" priority="4">
      <colorScale>
        <cfvo type="min"/>
        <cfvo type="max"/>
        <color rgb="FFFFFFFF"/>
        <color rgb="FFE67C73"/>
      </colorScale>
    </cfRule>
  </conditionalFormatting>
  <drawing r:id="rId2"/>
  <extLst>
    <ext uri="{3A4CF648-6AED-40f4-86FF-DC5316D8AED3}">
      <x14:slicerList>
        <x14:slicer r:id="rId3"/>
      </x14:slicerList>
    </ext>
  </extLst>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6.13"/>
  </cols>
  <sheetData>
    <row r="1">
      <c r="A1" s="14">
        <v>1.0</v>
      </c>
      <c r="B1" s="15" t="s">
        <v>8</v>
      </c>
    </row>
    <row r="2">
      <c r="A2" s="14">
        <v>2.0</v>
      </c>
      <c r="B2" s="15" t="s">
        <v>9</v>
      </c>
    </row>
    <row r="3">
      <c r="A3" s="14">
        <v>3.0</v>
      </c>
      <c r="B3" s="15" t="s">
        <v>10</v>
      </c>
    </row>
    <row r="4">
      <c r="A4" s="14">
        <v>4.0</v>
      </c>
      <c r="B4" s="15" t="s">
        <v>11</v>
      </c>
    </row>
    <row r="5">
      <c r="A5" s="14">
        <v>5.0</v>
      </c>
      <c r="B5" s="15" t="s">
        <v>12</v>
      </c>
    </row>
    <row r="6">
      <c r="A6" s="14">
        <v>6.0</v>
      </c>
      <c r="B6" s="15" t="s">
        <v>13</v>
      </c>
    </row>
    <row r="7">
      <c r="A7" s="14">
        <v>7.0</v>
      </c>
      <c r="B7" s="15" t="s">
        <v>14</v>
      </c>
    </row>
    <row r="8">
      <c r="A8" s="16"/>
      <c r="B8" s="17"/>
    </row>
    <row r="9">
      <c r="A9" s="14">
        <v>1.0</v>
      </c>
      <c r="B9" s="15" t="s">
        <v>15</v>
      </c>
    </row>
    <row r="10">
      <c r="A10" s="14">
        <v>2.0</v>
      </c>
      <c r="B10" s="15" t="s">
        <v>16</v>
      </c>
    </row>
    <row r="11">
      <c r="A11" s="14">
        <v>3.0</v>
      </c>
      <c r="B11" s="15" t="s">
        <v>17</v>
      </c>
    </row>
    <row r="12">
      <c r="A12" s="14">
        <v>4.0</v>
      </c>
      <c r="B12" s="15" t="s">
        <v>18</v>
      </c>
    </row>
    <row r="13">
      <c r="A13" s="14">
        <v>5.0</v>
      </c>
      <c r="B13" s="15" t="s">
        <v>19</v>
      </c>
    </row>
    <row r="14">
      <c r="A14" s="14">
        <v>6.0</v>
      </c>
      <c r="B14" s="15" t="s">
        <v>20</v>
      </c>
    </row>
    <row r="15">
      <c r="A15" s="14">
        <v>7.0</v>
      </c>
      <c r="B15" s="15" t="s">
        <v>21</v>
      </c>
    </row>
  </sheetData>
  <drawing r:id="rId1"/>
  <tableParts count="2">
    <tablePart r:id="rId4"/>
    <tablePart r:id="rId5"/>
  </tableParts>
</worksheet>
</file>